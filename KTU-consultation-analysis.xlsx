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onthly Summary" sheetId="1" state="visible" r:id="rId1"/>
    <sheet name="2. By Town Monthly" sheetId="2" state="visible" r:id="rId2"/>
    <sheet name="3. Town Totals 12mo" sheetId="3" state="visible" r:id="rId3"/>
    <sheet name="4. Jul-Aug Cancellations" sheetId="4" state="visible" r:id="rId4"/>
    <sheet name="5. Excluded Records" sheetId="5" state="visible" r:id="rId5"/>
    <sheet name="6. Method &amp; Sources" sheetId="6" state="visible" r:id="rId6"/>
  </sheets>
  <definedNames>
    <definedName name="_xlnm._FilterDatabase" localSheetId="1" hidden="1">'2. By Town Monthly'!$A$4:$G$231</definedName>
    <definedName name="_xlnm._FilterDatabase" localSheetId="2" hidden="1">'3. Town Totals 12mo'!$A$4:$H$81</definedName>
    <definedName name="_xlnm._FilterDatabase" localSheetId="3" hidden="1">'4. Jul-Aug Cancellations'!$A$4:$V$51</definedName>
    <definedName name="_xlnm._FilterDatabase" localSheetId="4" hidden="1">'5. Excluded Records'!$A$4:$L$30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3">
    <font>
      <name val="Calibri"/>
      <family val="2"/>
      <color theme="1"/>
      <sz val="11"/>
      <scheme val="minor"/>
    </font>
    <font>
      <name val="Arial"/>
      <b val="1"/>
      <color rgb="FF1F2933"/>
      <sz val="15"/>
    </font>
    <font>
      <name val="Arial"/>
      <color rgb="FF6B7688"/>
      <sz val="9.5"/>
    </font>
    <font>
      <name val="Arial"/>
      <b val="1"/>
      <color rgb="FFFFFFFF"/>
      <sz val="10"/>
    </font>
    <font>
      <name val="Arial"/>
      <color rgb="FF1F2933"/>
      <sz val="10"/>
    </font>
    <font>
      <name val="Arial"/>
      <b val="1"/>
      <color rgb="FF1F2933"/>
      <sz val="10"/>
    </font>
    <font>
      <name val="Arial"/>
      <i val="1"/>
      <color rgb="FF9A6410"/>
      <sz val="9"/>
    </font>
    <font>
      <name val="Arial"/>
      <b val="1"/>
      <color rgb="FF1F2933"/>
      <sz val="12"/>
    </font>
    <font>
      <name val="Arial"/>
      <i val="1"/>
      <color rgb="FF6B7688"/>
      <sz val="9.5"/>
    </font>
    <font>
      <name val="Arial"/>
      <color rgb="FF6B7688"/>
      <sz val="9"/>
    </font>
    <font>
      <name val="Arial"/>
      <color rgb="FFA32833"/>
      <sz val="9"/>
    </font>
    <font>
      <name val="Arial"/>
      <color rgb="FFA32833"/>
      <sz val="10"/>
    </font>
    <font>
      <name val="Arial"/>
      <b val="1"/>
      <color rgb="FF1C5566"/>
      <sz val="10"/>
    </font>
  </fonts>
  <fills count="6">
    <fill>
      <patternFill/>
    </fill>
    <fill>
      <patternFill patternType="gray125"/>
    </fill>
    <fill>
      <patternFill patternType="solid">
        <fgColor rgb="FF1C5566"/>
      </patternFill>
    </fill>
    <fill>
      <patternFill patternType="solid">
        <fgColor rgb="FFF4F6F8"/>
      </patternFill>
    </fill>
    <fill>
      <patternFill patternType="solid">
        <fgColor rgb="FFE8EDF0"/>
      </patternFill>
    </fill>
    <fill>
      <patternFill patternType="solid">
        <fgColor rgb="FFFBE9EA"/>
      </patternFill>
    </fill>
  </fills>
  <borders count="3">
    <border>
      <left/>
      <right/>
      <top/>
      <bottom/>
      <diagonal/>
    </border>
    <border>
      <bottom style="thin">
        <color rgb="FFD6DBE1"/>
      </bottom>
    </border>
    <border>
      <top style="medium">
        <color rgb="FF1C5566"/>
      </top>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applyAlignment="1" pivotButton="0" quotePrefix="0" xfId="0">
      <alignment horizontal="left"/>
    </xf>
    <xf numFmtId="164" fontId="4" fillId="0" borderId="1" pivotButton="0" quotePrefix="0" xfId="0"/>
    <xf numFmtId="9" fontId="4" fillId="0" borderId="1" pivotButton="0" quotePrefix="0" xfId="0"/>
    <xf numFmtId="165" fontId="4" fillId="0" borderId="1" pivotButton="0" quotePrefix="0" xfId="0"/>
    <xf numFmtId="0" fontId="6" fillId="0" borderId="1" applyAlignment="1" pivotButton="0" quotePrefix="0" xfId="0">
      <alignment vertical="top" wrapText="1"/>
    </xf>
    <xf numFmtId="0" fontId="4" fillId="3" borderId="1" applyAlignment="1" pivotButton="0" quotePrefix="0" xfId="0">
      <alignment horizontal="left"/>
    </xf>
    <xf numFmtId="164" fontId="4" fillId="3" borderId="1" pivotButton="0" quotePrefix="0" xfId="0"/>
    <xf numFmtId="9" fontId="4" fillId="3" borderId="1" pivotButton="0" quotePrefix="0" xfId="0"/>
    <xf numFmtId="165" fontId="4" fillId="3" borderId="1" pivotButton="0" quotePrefix="0" xfId="0"/>
    <xf numFmtId="0" fontId="4" fillId="3" borderId="1" pivotButton="0" quotePrefix="0" xfId="0"/>
    <xf numFmtId="0" fontId="4" fillId="0" borderId="1" pivotButton="0" quotePrefix="0" xfId="0"/>
    <xf numFmtId="0" fontId="6" fillId="3" borderId="1" applyAlignment="1" pivotButton="0" quotePrefix="0" xfId="0">
      <alignment vertical="top" wrapText="1"/>
    </xf>
    <xf numFmtId="0" fontId="5" fillId="4" borderId="2" applyAlignment="1" pivotButton="0" quotePrefix="0" xfId="0">
      <alignment horizontal="left"/>
    </xf>
    <xf numFmtId="164" fontId="5" fillId="4" borderId="2" pivotButton="0" quotePrefix="0" xfId="0"/>
    <xf numFmtId="9" fontId="5" fillId="4" borderId="2" pivotButton="0" quotePrefix="0" xfId="0"/>
    <xf numFmtId="165" fontId="5" fillId="4" borderId="2" pivotButton="0" quotePrefix="0" xfId="0"/>
    <xf numFmtId="0" fontId="5" fillId="4" borderId="2" pivotButton="0" quotePrefix="0" xfId="0"/>
    <xf numFmtId="0" fontId="7" fillId="0" borderId="0" pivotButton="0" quotePrefix="0" xfId="0"/>
    <xf numFmtId="0" fontId="8" fillId="0" borderId="0" pivotButton="0" quotePrefix="0" xfId="0"/>
    <xf numFmtId="0" fontId="5" fillId="0" borderId="1" pivotButton="0" quotePrefix="0" xfId="0"/>
    <xf numFmtId="0" fontId="9" fillId="0" borderId="1" applyAlignment="1" pivotButton="0" quotePrefix="0" xfId="0">
      <alignment vertical="top" wrapText="1"/>
    </xf>
    <xf numFmtId="0" fontId="5" fillId="3" borderId="1" pivotButton="0" quotePrefix="0" xfId="0"/>
    <xf numFmtId="0" fontId="9" fillId="3" borderId="1" applyAlignment="1" pivotButton="0" quotePrefix="0" xfId="0">
      <alignment vertical="top" wrapText="1"/>
    </xf>
    <xf numFmtId="166" fontId="4" fillId="0" borderId="1" pivotButton="0" quotePrefix="0" xfId="0"/>
    <xf numFmtId="0" fontId="10" fillId="5" borderId="1" pivotButton="0" quotePrefix="0" xfId="0"/>
    <xf numFmtId="0" fontId="4" fillId="0" borderId="1" applyAlignment="1" pivotButton="0" quotePrefix="0" xfId="0">
      <alignment vertical="top" wrapText="1"/>
    </xf>
    <xf numFmtId="166" fontId="4" fillId="3" borderId="1" pivotButton="0" quotePrefix="0" xfId="0"/>
    <xf numFmtId="0" fontId="4" fillId="3" borderId="1" applyAlignment="1" pivotButton="0" quotePrefix="0" xfId="0">
      <alignment vertical="top" wrapText="1"/>
    </xf>
    <xf numFmtId="0" fontId="11" fillId="0" borderId="1" pivotButton="0" quotePrefix="0" xfId="0"/>
    <xf numFmtId="0" fontId="11" fillId="3" borderId="1" pivotButton="0" quotePrefix="0" xfId="0"/>
    <xf numFmtId="0" fontId="12" fillId="0" borderId="1" applyAlignment="1" pivotButton="0" quotePrefix="0" xfId="0">
      <alignment vertical="top"/>
    </xf>
    <xf numFmtId="164" fontId="4" fillId="0" borderId="1" pivotButton="0" quotePrefix="0" xfId="0"/>
    <xf numFmtId="165" fontId="4" fillId="0" borderId="1" pivotButton="0" quotePrefix="0" xfId="0"/>
    <xf numFmtId="164" fontId="4" fillId="3" borderId="1" pivotButton="0" quotePrefix="0" xfId="0"/>
    <xf numFmtId="165" fontId="4" fillId="3" borderId="1" pivotButton="0" quotePrefix="0" xfId="0"/>
    <xf numFmtId="164" fontId="5" fillId="4" borderId="2" pivotButton="0" quotePrefix="0" xfId="0"/>
    <xf numFmtId="165" fontId="5" fillId="4" borderId="2" pivotButton="0" quotePrefix="0" xfId="0"/>
  </cellXfs>
  <cellStyles count="1">
    <cellStyle name="Normal" xfId="0" builtinId="0" hidden="0"/>
  </cellStyles>
  <dxfs count="3">
    <dxf>
      <font>
        <name val="Arial"/>
        <b val="1"/>
        <color rgb="FFA32833"/>
      </font>
      <fill>
        <patternFill patternType="solid">
          <bgColor rgb="FFFBE9EA"/>
        </patternFill>
      </fill>
    </dxf>
    <dxf>
      <font>
        <name val="Arial"/>
        <color rgb="FF9A6410"/>
      </font>
      <fill>
        <patternFill patternType="solid">
          <bgColor rgb="FFFBF0DE"/>
        </patternFill>
      </fill>
    </dxf>
    <dxf>
      <font>
        <name val="Arial"/>
        <color rgb="FF26654C"/>
      </font>
      <fill>
        <patternFill patternType="solid">
          <b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10" customWidth="1" min="4" max="4"/>
    <col width="13" customWidth="1" min="5" max="5"/>
    <col width="12" customWidth="1" min="6" max="6"/>
    <col width="11" customWidth="1" min="7" max="7"/>
    <col width="12" customWidth="1" min="8" max="8"/>
    <col width="14" customWidth="1" min="9" max="9"/>
    <col width="15" customWidth="1" min="10" max="10"/>
    <col width="13" customWidth="1" min="11" max="11"/>
    <col width="12" customWidth="1" min="12" max="12"/>
    <col width="44" customWidth="1" min="13" max="13"/>
  </cols>
  <sheetData>
    <row r="1" ht="22" customHeight="1">
      <c r="A1" s="1" t="inlineStr">
        <is>
          <t>KTU in-home consultation funnel — monthly</t>
        </is>
      </c>
    </row>
    <row r="2" ht="30" customHeight="1">
      <c r="A2" s="2" t="inlineStr">
        <is>
          <t>Kitchen Tune-Up only (ServiceMinder org 1682 / location KT20191006). Bath Tune-Up is org 4761 and is not in any figure here. Service = "Consultation - In-Home"; showroom, site-visit, measuring and installation appointments excluded. Consults are grouped by the month the appointment was SCHEDULED for. 24 test/system records excluded (see column L). Proposals are real quotes only — 9 credit memos / zero-value adjustments were removed. Acceptance % is measured on DECIDED quotes so a fresh month is not punished for quotes nobody has answered yet.</t>
        </is>
      </c>
    </row>
    <row r="4" ht="30" customHeight="1">
      <c r="A4" s="3" t="inlineStr">
        <is>
          <t>Month</t>
        </is>
      </c>
      <c r="B4" s="3" t="inlineStr">
        <is>
          <t>Consults
booked</t>
        </is>
      </c>
      <c r="C4" s="3" t="inlineStr">
        <is>
          <t>Attended</t>
        </is>
      </c>
      <c r="D4" s="3" t="inlineStr">
        <is>
          <t>Cancelled</t>
        </is>
      </c>
      <c r="E4" s="3" t="inlineStr">
        <is>
          <t>Cancellation
%</t>
        </is>
      </c>
      <c r="F4" s="3" t="inlineStr">
        <is>
          <t>Real quotes
sent</t>
        </is>
      </c>
      <c r="G4" s="3" t="inlineStr">
        <is>
          <t>Quotes
accepted</t>
        </is>
      </c>
      <c r="H4" s="3" t="inlineStr">
        <is>
          <t>Quotes still
open</t>
        </is>
      </c>
      <c r="I4" s="3" t="inlineStr">
        <is>
          <t>Acceptance %
(of decided)</t>
        </is>
      </c>
      <c r="J4" s="3" t="inlineStr">
        <is>
          <t>Value sold</t>
        </is>
      </c>
      <c r="K4" s="3" t="inlineStr">
        <is>
          <t>Open quote
value</t>
        </is>
      </c>
      <c r="L4" s="3" t="inlineStr">
        <is>
          <t>Test records
excluded</t>
        </is>
      </c>
      <c r="M4" s="3" t="inlineStr">
        <is>
          <t>Notes</t>
        </is>
      </c>
    </row>
    <row r="5">
      <c r="A5" s="4" t="inlineStr">
        <is>
          <t>2025-09</t>
        </is>
      </c>
      <c r="B5" s="35" t="n">
        <v>15</v>
      </c>
      <c r="C5" s="35" t="n">
        <v>9</v>
      </c>
      <c r="D5" s="35" t="n">
        <v>6</v>
      </c>
      <c r="E5" s="6">
        <f>IF(C5+D5=0,"",D5/(C5+D5))</f>
        <v/>
      </c>
      <c r="F5" s="35" t="n">
        <v>12</v>
      </c>
      <c r="G5" s="35" t="n">
        <v>5</v>
      </c>
      <c r="H5" s="35" t="n">
        <v>0</v>
      </c>
      <c r="I5" s="6">
        <f>IF(F5-H5=0,"",G5/(F5-H5))</f>
        <v/>
      </c>
      <c r="J5" s="36" t="n">
        <v>151393</v>
      </c>
      <c r="K5" s="36" t="n"/>
      <c r="L5" s="35" t="n">
        <v>4</v>
      </c>
      <c r="M5" s="8" t="inlineStr">
        <is>
          <t>Oct 2025 was the highest-volume month of the year and still cancelled 61%.</t>
        </is>
      </c>
    </row>
    <row r="6">
      <c r="A6" s="9" t="inlineStr">
        <is>
          <t>2025-10</t>
        </is>
      </c>
      <c r="B6" s="37" t="n">
        <v>58</v>
      </c>
      <c r="C6" s="37" t="n">
        <v>22</v>
      </c>
      <c r="D6" s="37" t="n">
        <v>35</v>
      </c>
      <c r="E6" s="11">
        <f>IF(C6+D6=0,"",D6/(C6+D6))</f>
        <v/>
      </c>
      <c r="F6" s="37" t="n">
        <v>38</v>
      </c>
      <c r="G6" s="37" t="n">
        <v>20</v>
      </c>
      <c r="H6" s="37" t="n">
        <v>0</v>
      </c>
      <c r="I6" s="11">
        <f>IF(F6-H6=0,"",G6/(F6-H6))</f>
        <v/>
      </c>
      <c r="J6" s="38" t="n">
        <v>229763</v>
      </c>
      <c r="K6" s="38" t="n"/>
      <c r="L6" s="37" t="n">
        <v>1</v>
      </c>
      <c r="M6" s="13" t="n"/>
    </row>
    <row r="7">
      <c r="A7" s="4" t="inlineStr">
        <is>
          <t>2025-11</t>
        </is>
      </c>
      <c r="B7" s="35" t="n">
        <v>32</v>
      </c>
      <c r="C7" s="35" t="n">
        <v>7</v>
      </c>
      <c r="D7" s="35" t="n">
        <v>25</v>
      </c>
      <c r="E7" s="6">
        <f>IF(C7+D7=0,"",D7/(C7+D7))</f>
        <v/>
      </c>
      <c r="F7" s="35" t="n">
        <v>14</v>
      </c>
      <c r="G7" s="35" t="n">
        <v>8</v>
      </c>
      <c r="H7" s="35" t="n">
        <v>0</v>
      </c>
      <c r="I7" s="6">
        <f>IF(F7-H7=0,"",G7/(F7-H7))</f>
        <v/>
      </c>
      <c r="J7" s="36" t="n">
        <v>122000</v>
      </c>
      <c r="K7" s="36" t="n"/>
      <c r="L7" s="35" t="n">
        <v>0</v>
      </c>
      <c r="M7" s="14" t="n"/>
    </row>
    <row r="8">
      <c r="A8" s="9" t="inlineStr">
        <is>
          <t>2025-12</t>
        </is>
      </c>
      <c r="B8" s="37" t="n">
        <v>24</v>
      </c>
      <c r="C8" s="37" t="n">
        <v>11</v>
      </c>
      <c r="D8" s="37" t="n">
        <v>13</v>
      </c>
      <c r="E8" s="11">
        <f>IF(C8+D8=0,"",D8/(C8+D8))</f>
        <v/>
      </c>
      <c r="F8" s="37" t="n">
        <v>18</v>
      </c>
      <c r="G8" s="37" t="n">
        <v>11</v>
      </c>
      <c r="H8" s="37" t="n">
        <v>0</v>
      </c>
      <c r="I8" s="11">
        <f>IF(F8-H8=0,"",G8/(F8-H8))</f>
        <v/>
      </c>
      <c r="J8" s="38" t="n">
        <v>159601</v>
      </c>
      <c r="K8" s="38" t="n"/>
      <c r="L8" s="37" t="n">
        <v>1</v>
      </c>
      <c r="M8" s="13" t="n"/>
    </row>
    <row r="9">
      <c r="A9" s="4" t="inlineStr">
        <is>
          <t>2026-01</t>
        </is>
      </c>
      <c r="B9" s="35" t="n">
        <v>34</v>
      </c>
      <c r="C9" s="35" t="n">
        <v>19</v>
      </c>
      <c r="D9" s="35" t="n">
        <v>15</v>
      </c>
      <c r="E9" s="6">
        <f>IF(C9+D9=0,"",D9/(C9+D9))</f>
        <v/>
      </c>
      <c r="F9" s="35" t="n">
        <v>33</v>
      </c>
      <c r="G9" s="35" t="n">
        <v>14</v>
      </c>
      <c r="H9" s="35" t="n">
        <v>0</v>
      </c>
      <c r="I9" s="6">
        <f>IF(F9-H9=0,"",G9/(F9-H9))</f>
        <v/>
      </c>
      <c r="J9" s="36" t="n">
        <v>125628</v>
      </c>
      <c r="K9" s="36" t="n"/>
      <c r="L9" s="35" t="n">
        <v>3</v>
      </c>
      <c r="M9" s="14" t="n"/>
    </row>
    <row r="10">
      <c r="A10" s="9" t="inlineStr">
        <is>
          <t>2026-02</t>
        </is>
      </c>
      <c r="B10" s="37" t="n">
        <v>31</v>
      </c>
      <c r="C10" s="37" t="n">
        <v>18</v>
      </c>
      <c r="D10" s="37" t="n">
        <v>13</v>
      </c>
      <c r="E10" s="11">
        <f>IF(C10+D10=0,"",D10/(C10+D10))</f>
        <v/>
      </c>
      <c r="F10" s="37" t="n">
        <v>22</v>
      </c>
      <c r="G10" s="37" t="n">
        <v>14</v>
      </c>
      <c r="H10" s="37" t="n">
        <v>0</v>
      </c>
      <c r="I10" s="11">
        <f>IF(F10-H10=0,"",G10/(F10-H10))</f>
        <v/>
      </c>
      <c r="J10" s="38" t="n">
        <v>251811</v>
      </c>
      <c r="K10" s="38" t="n"/>
      <c r="L10" s="37" t="n">
        <v>1</v>
      </c>
      <c r="M10" s="13" t="n"/>
    </row>
    <row r="11">
      <c r="A11" s="4" t="inlineStr">
        <is>
          <t>2026-03</t>
        </is>
      </c>
      <c r="B11" s="35" t="n">
        <v>33</v>
      </c>
      <c r="C11" s="35" t="n">
        <v>14</v>
      </c>
      <c r="D11" s="35" t="n">
        <v>19</v>
      </c>
      <c r="E11" s="6">
        <f>IF(C11+D11=0,"",D11/(C11+D11))</f>
        <v/>
      </c>
      <c r="F11" s="35" t="n">
        <v>15</v>
      </c>
      <c r="G11" s="35" t="n">
        <v>8</v>
      </c>
      <c r="H11" s="35" t="n">
        <v>0</v>
      </c>
      <c r="I11" s="6">
        <f>IF(F11-H11=0,"",G11/(F11-H11))</f>
        <v/>
      </c>
      <c r="J11" s="36" t="n">
        <v>127316</v>
      </c>
      <c r="K11" s="36" t="n"/>
      <c r="L11" s="35" t="n">
        <v>0</v>
      </c>
      <c r="M11" s="14" t="n"/>
    </row>
    <row r="12">
      <c r="A12" s="9" t="inlineStr">
        <is>
          <t>2026-04</t>
        </is>
      </c>
      <c r="B12" s="37" t="n">
        <v>30</v>
      </c>
      <c r="C12" s="37" t="n">
        <v>9</v>
      </c>
      <c r="D12" s="37" t="n">
        <v>21</v>
      </c>
      <c r="E12" s="11">
        <f>IF(C12+D12=0,"",D12/(C12+D12))</f>
        <v/>
      </c>
      <c r="F12" s="37" t="n">
        <v>14</v>
      </c>
      <c r="G12" s="37" t="n">
        <v>7</v>
      </c>
      <c r="H12" s="37" t="n">
        <v>0</v>
      </c>
      <c r="I12" s="11">
        <f>IF(F12-H12=0,"",G12/(F12-H12))</f>
        <v/>
      </c>
      <c r="J12" s="38" t="n">
        <v>138120</v>
      </c>
      <c r="K12" s="38" t="n"/>
      <c r="L12" s="37" t="n">
        <v>2</v>
      </c>
      <c r="M12" s="13" t="n"/>
    </row>
    <row r="13">
      <c r="A13" s="4" t="inlineStr">
        <is>
          <t>2026-05</t>
        </is>
      </c>
      <c r="B13" s="35" t="n">
        <v>49</v>
      </c>
      <c r="C13" s="35" t="n">
        <v>29</v>
      </c>
      <c r="D13" s="35" t="n">
        <v>20</v>
      </c>
      <c r="E13" s="6">
        <f>IF(C13+D13=0,"",D13/(C13+D13))</f>
        <v/>
      </c>
      <c r="F13" s="35" t="n">
        <v>38</v>
      </c>
      <c r="G13" s="35" t="n">
        <v>19</v>
      </c>
      <c r="H13" s="35" t="n">
        <v>0</v>
      </c>
      <c r="I13" s="6">
        <f>IF(F13-H13=0,"",G13/(F13-H13))</f>
        <v/>
      </c>
      <c r="J13" s="36" t="n">
        <v>333788</v>
      </c>
      <c r="K13" s="36" t="n"/>
      <c r="L13" s="35" t="n">
        <v>1</v>
      </c>
      <c r="M13" s="14" t="n"/>
    </row>
    <row r="14">
      <c r="A14" s="9" t="inlineStr">
        <is>
          <t>2026-06</t>
        </is>
      </c>
      <c r="B14" s="37" t="n">
        <v>39</v>
      </c>
      <c r="C14" s="37" t="n">
        <v>18</v>
      </c>
      <c r="D14" s="37" t="n">
        <v>21</v>
      </c>
      <c r="E14" s="11">
        <f>IF(C14+D14=0,"",D14/(C14+D14))</f>
        <v/>
      </c>
      <c r="F14" s="37" t="n">
        <v>18</v>
      </c>
      <c r="G14" s="37" t="n">
        <v>8</v>
      </c>
      <c r="H14" s="37" t="n">
        <v>0</v>
      </c>
      <c r="I14" s="11">
        <f>IF(F14-H14=0,"",G14/(F14-H14))</f>
        <v/>
      </c>
      <c r="J14" s="38" t="n">
        <v>101487</v>
      </c>
      <c r="K14" s="38" t="n"/>
      <c r="L14" s="37" t="n">
        <v>1</v>
      </c>
      <c r="M14" s="13" t="n"/>
    </row>
    <row r="15">
      <c r="A15" s="4" t="inlineStr">
        <is>
          <t>2026-07</t>
        </is>
      </c>
      <c r="B15" s="35" t="n">
        <v>48</v>
      </c>
      <c r="C15" s="35" t="n">
        <v>17</v>
      </c>
      <c r="D15" s="35" t="n">
        <v>31</v>
      </c>
      <c r="E15" s="6">
        <f>IF(C15+D15=0,"",D15/(C15+D15))</f>
        <v/>
      </c>
      <c r="F15" s="35" t="n">
        <v>35</v>
      </c>
      <c r="G15" s="35" t="n">
        <v>9</v>
      </c>
      <c r="H15" s="35" t="n">
        <v>0</v>
      </c>
      <c r="I15" s="6">
        <f>IF(F15-H15=0,"",G15/(F15-H15))</f>
        <v/>
      </c>
      <c r="J15" s="36" t="n">
        <v>230876</v>
      </c>
      <c r="K15" s="36" t="n"/>
      <c r="L15" s="35" t="n">
        <v>5</v>
      </c>
      <c r="M15" s="8" t="inlineStr">
        <is>
          <t>July: quotes written held up (35) but only 9 closed — 26%, the worst acceptance in the year.</t>
        </is>
      </c>
    </row>
    <row r="16">
      <c r="A16" s="9" t="inlineStr">
        <is>
          <t>2026-08</t>
        </is>
      </c>
      <c r="B16" s="37" t="n">
        <v>44</v>
      </c>
      <c r="C16" s="37" t="n">
        <v>12</v>
      </c>
      <c r="D16" s="37" t="n">
        <v>32</v>
      </c>
      <c r="E16" s="11">
        <f>IF(C16+D16=0,"",D16/(C16+D16))</f>
        <v/>
      </c>
      <c r="F16" s="37" t="n">
        <v>18</v>
      </c>
      <c r="G16" s="37" t="n">
        <v>5</v>
      </c>
      <c r="H16" s="37" t="n">
        <v>6</v>
      </c>
      <c r="I16" s="11">
        <f>IF(F16-H16=0,"",G16/(F16-H16))</f>
        <v/>
      </c>
      <c r="J16" s="38" t="n">
        <v>56970</v>
      </c>
      <c r="K16" s="38" t="n">
        <v>143784</v>
      </c>
      <c r="L16" s="37" t="n">
        <v>5</v>
      </c>
      <c r="M16" s="15" t="inlineStr">
        <is>
          <t>August: lowest value sold of the twelve months. 6 quotes worth $143,784 were still open at the pull date, so this figure can still rise.</t>
        </is>
      </c>
    </row>
    <row r="17">
      <c r="A17" s="16" t="inlineStr">
        <is>
          <t>12-month total</t>
        </is>
      </c>
      <c r="B17" s="39">
        <f>SUM(B5:B16)</f>
        <v/>
      </c>
      <c r="C17" s="39">
        <f>SUM(C5:C16)</f>
        <v/>
      </c>
      <c r="D17" s="39">
        <f>SUM(D5:D16)</f>
        <v/>
      </c>
      <c r="E17" s="18">
        <f>D17/(C17+D17)</f>
        <v/>
      </c>
      <c r="F17" s="39">
        <f>SUM(F5:F16)</f>
        <v/>
      </c>
      <c r="G17" s="39">
        <f>SUM(G5:G16)</f>
        <v/>
      </c>
      <c r="H17" s="39">
        <f>SUM(H5:H16)</f>
        <v/>
      </c>
      <c r="I17" s="18">
        <f>G17/(F17-H17)</f>
        <v/>
      </c>
      <c r="J17" s="40">
        <f>SUM(J5:J16)</f>
        <v/>
      </c>
      <c r="K17" s="40">
        <f>SUM(K5:K16)</f>
        <v/>
      </c>
      <c r="L17" s="39">
        <f>SUM(L5:L16)</f>
        <v/>
      </c>
      <c r="M17" s="20" t="n"/>
    </row>
  </sheetData>
  <mergeCells count="1">
    <mergeCell ref="A2:M2"/>
  </mergeCells>
  <conditionalFormatting sqref="E5:E16">
    <cfRule type="cellIs" priority="1" operator="greaterThanOrEqual" dxfId="0">
      <formula>0.65</formula>
    </cfRule>
    <cfRule type="cellIs" priority="2" operator="between" dxfId="1">
      <formula>0.5</formula>
      <formula>0.6499</formula>
    </cfRule>
  </conditionalFormatting>
  <conditionalFormatting sqref="I5:I16">
    <cfRule type="cellIs" priority="3" operator="lessThan" dxfId="0">
      <formula>0.40</formula>
    </cfRule>
    <cfRule type="cellIs" priority="4" operator="greaterThanOrEqual" dxfId="2">
      <formula>0.55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1"/>
  <sheetViews>
    <sheetView showGridLines="0" workbookViewId="0">
      <pane ySplit="4" topLeftCell="A5" activePane="bottomLeft" state="frozen"/>
      <selection pane="bottomLeft" activeCell="A1" sqref="A1"/>
    </sheetView>
  </sheetViews>
  <sheetFormatPr baseColWidth="8" defaultRowHeight="15"/>
  <cols>
    <col width="11" customWidth="1" min="1" max="1"/>
    <col width="26" customWidth="1" min="2" max="2"/>
    <col width="16" customWidth="1" min="3" max="3"/>
    <col width="11" customWidth="1" min="4" max="4"/>
    <col width="11" customWidth="1" min="5" max="5"/>
    <col width="15" customWidth="1" min="6" max="6"/>
    <col width="18" customWidth="1" min="7" max="7"/>
  </cols>
  <sheetData>
    <row r="1" ht="22" customHeight="1">
      <c r="A1" s="1" t="inlineStr">
        <is>
          <t>Cancellation rate by town — one row per month and town</t>
        </is>
      </c>
    </row>
    <row r="2" ht="30" customHeight="1">
      <c r="A2" s="2" t="inlineStr">
        <is>
          <t>Same scope and exclusions as sheet 1. Sorted by month, then by cancellations. "Cancellation %" is blank where a town had no resolved appointment that month. Use this sheet as the source for a pivot table: Month on columns, Town on rows.</t>
        </is>
      </c>
    </row>
    <row r="4" ht="30" customHeight="1">
      <c r="A4" s="3" t="inlineStr">
        <is>
          <t>Month</t>
        </is>
      </c>
      <c r="B4" s="3" t="inlineStr">
        <is>
          <t>Town</t>
        </is>
      </c>
      <c r="C4" s="3" t="inlineStr">
        <is>
          <t>Consults booked</t>
        </is>
      </c>
      <c r="D4" s="3" t="inlineStr">
        <is>
          <t>Attended</t>
        </is>
      </c>
      <c r="E4" s="3" t="inlineStr">
        <is>
          <t>Cancelled</t>
        </is>
      </c>
      <c r="F4" s="3" t="inlineStr">
        <is>
          <t>Cancellation %</t>
        </is>
      </c>
      <c r="G4" s="3" t="inlineStr">
        <is>
          <t>Out of service area</t>
        </is>
      </c>
    </row>
    <row r="5">
      <c r="A5" s="14" t="inlineStr">
        <is>
          <t>2025-09</t>
        </is>
      </c>
      <c r="B5" s="14" t="inlineStr">
        <is>
          <t>Belleville</t>
        </is>
      </c>
      <c r="C5" s="14" t="n">
        <v>1</v>
      </c>
      <c r="D5" s="14" t="n">
        <v>0</v>
      </c>
      <c r="E5" s="14" t="n">
        <v>1</v>
      </c>
      <c r="F5" s="6">
        <f>IF(D5+E5=0,"",E5/(D5+E5))</f>
        <v/>
      </c>
      <c r="G5" s="14" t="inlineStr"/>
    </row>
    <row r="6">
      <c r="A6" s="13" t="inlineStr">
        <is>
          <t>2025-09</t>
        </is>
      </c>
      <c r="B6" s="13" t="inlineStr">
        <is>
          <t>Glen Ridge</t>
        </is>
      </c>
      <c r="C6" s="13" t="n">
        <v>2</v>
      </c>
      <c r="D6" s="13" t="n">
        <v>1</v>
      </c>
      <c r="E6" s="13" t="n">
        <v>1</v>
      </c>
      <c r="F6" s="11">
        <f>IF(D6+E6=0,"",E6/(D6+E6))</f>
        <v/>
      </c>
      <c r="G6" s="13" t="inlineStr"/>
    </row>
    <row r="7">
      <c r="A7" s="14" t="inlineStr">
        <is>
          <t>2025-09</t>
        </is>
      </c>
      <c r="B7" s="14" t="inlineStr">
        <is>
          <t>Irvington</t>
        </is>
      </c>
      <c r="C7" s="14" t="n">
        <v>1</v>
      </c>
      <c r="D7" s="14" t="n">
        <v>0</v>
      </c>
      <c r="E7" s="14" t="n">
        <v>1</v>
      </c>
      <c r="F7" s="6">
        <f>IF(D7+E7=0,"",E7/(D7+E7))</f>
        <v/>
      </c>
      <c r="G7" s="14" t="inlineStr"/>
    </row>
    <row r="8">
      <c r="A8" s="13" t="inlineStr">
        <is>
          <t>2025-09</t>
        </is>
      </c>
      <c r="B8" s="13" t="inlineStr">
        <is>
          <t>Lake Hiawatha</t>
        </is>
      </c>
      <c r="C8" s="13" t="n">
        <v>1</v>
      </c>
      <c r="D8" s="13" t="n">
        <v>0</v>
      </c>
      <c r="E8" s="13" t="n">
        <v>1</v>
      </c>
      <c r="F8" s="11">
        <f>IF(D8+E8=0,"",E8/(D8+E8))</f>
        <v/>
      </c>
      <c r="G8" s="13" t="inlineStr"/>
    </row>
    <row r="9">
      <c r="A9" s="14" t="inlineStr">
        <is>
          <t>2025-09</t>
        </is>
      </c>
      <c r="B9" s="14" t="inlineStr">
        <is>
          <t>Monroeville</t>
        </is>
      </c>
      <c r="C9" s="14" t="n">
        <v>1</v>
      </c>
      <c r="D9" s="14" t="n">
        <v>0</v>
      </c>
      <c r="E9" s="14" t="n">
        <v>1</v>
      </c>
      <c r="F9" s="6">
        <f>IF(D9+E9=0,"",E9/(D9+E9))</f>
        <v/>
      </c>
      <c r="G9" s="14" t="inlineStr"/>
    </row>
    <row r="10">
      <c r="A10" s="13" t="inlineStr">
        <is>
          <t>2025-09</t>
        </is>
      </c>
      <c r="B10" s="13" t="inlineStr">
        <is>
          <t>Montclair</t>
        </is>
      </c>
      <c r="C10" s="13" t="n">
        <v>2</v>
      </c>
      <c r="D10" s="13" t="n">
        <v>1</v>
      </c>
      <c r="E10" s="13" t="n">
        <v>1</v>
      </c>
      <c r="F10" s="11">
        <f>IF(D10+E10=0,"",E10/(D10+E10))</f>
        <v/>
      </c>
      <c r="G10" s="13" t="inlineStr"/>
    </row>
    <row r="11">
      <c r="A11" s="14" t="inlineStr">
        <is>
          <t>2025-09</t>
        </is>
      </c>
      <c r="B11" s="14" t="inlineStr">
        <is>
          <t>Bloomfield</t>
        </is>
      </c>
      <c r="C11" s="14" t="n">
        <v>2</v>
      </c>
      <c r="D11" s="14" t="n">
        <v>2</v>
      </c>
      <c r="E11" s="14" t="n">
        <v>0</v>
      </c>
      <c r="F11" s="6">
        <f>IF(D11+E11=0,"",E11/(D11+E11))</f>
        <v/>
      </c>
      <c r="G11" s="14" t="inlineStr"/>
    </row>
    <row r="12">
      <c r="A12" s="13" t="inlineStr">
        <is>
          <t>2025-09</t>
        </is>
      </c>
      <c r="B12" s="13" t="inlineStr">
        <is>
          <t>Clifton</t>
        </is>
      </c>
      <c r="C12" s="13" t="n">
        <v>1</v>
      </c>
      <c r="D12" s="13" t="n">
        <v>1</v>
      </c>
      <c r="E12" s="13" t="n">
        <v>0</v>
      </c>
      <c r="F12" s="11">
        <f>IF(D12+E12=0,"",E12/(D12+E12))</f>
        <v/>
      </c>
      <c r="G12" s="13" t="inlineStr"/>
    </row>
    <row r="13">
      <c r="A13" s="14" t="inlineStr">
        <is>
          <t>2025-09</t>
        </is>
      </c>
      <c r="B13" s="14" t="inlineStr">
        <is>
          <t>Forked River</t>
        </is>
      </c>
      <c r="C13" s="14" t="n">
        <v>1</v>
      </c>
      <c r="D13" s="14" t="n">
        <v>1</v>
      </c>
      <c r="E13" s="14" t="n">
        <v>0</v>
      </c>
      <c r="F13" s="6">
        <f>IF(D13+E13=0,"",E13/(D13+E13))</f>
        <v/>
      </c>
      <c r="G13" s="14" t="inlineStr"/>
    </row>
    <row r="14">
      <c r="A14" s="13" t="inlineStr">
        <is>
          <t>2025-09</t>
        </is>
      </c>
      <c r="B14" s="13" t="inlineStr">
        <is>
          <t>Maplewood</t>
        </is>
      </c>
      <c r="C14" s="13" t="n">
        <v>1</v>
      </c>
      <c r="D14" s="13" t="n">
        <v>1</v>
      </c>
      <c r="E14" s="13" t="n">
        <v>0</v>
      </c>
      <c r="F14" s="11">
        <f>IF(D14+E14=0,"",E14/(D14+E14))</f>
        <v/>
      </c>
      <c r="G14" s="13" t="inlineStr"/>
    </row>
    <row r="15">
      <c r="A15" s="14" t="inlineStr">
        <is>
          <t>2025-09</t>
        </is>
      </c>
      <c r="B15" s="14" t="inlineStr">
        <is>
          <t>Short Hills</t>
        </is>
      </c>
      <c r="C15" s="14" t="n">
        <v>1</v>
      </c>
      <c r="D15" s="14" t="n">
        <v>1</v>
      </c>
      <c r="E15" s="14" t="n">
        <v>0</v>
      </c>
      <c r="F15" s="6">
        <f>IF(D15+E15=0,"",E15/(D15+E15))</f>
        <v/>
      </c>
      <c r="G15" s="14" t="inlineStr"/>
    </row>
    <row r="16">
      <c r="A16" s="13" t="inlineStr">
        <is>
          <t>2025-09</t>
        </is>
      </c>
      <c r="B16" s="13" t="inlineStr">
        <is>
          <t>West Orange</t>
        </is>
      </c>
      <c r="C16" s="13" t="n">
        <v>1</v>
      </c>
      <c r="D16" s="13" t="n">
        <v>1</v>
      </c>
      <c r="E16" s="13" t="n">
        <v>0</v>
      </c>
      <c r="F16" s="11">
        <f>IF(D16+E16=0,"",E16/(D16+E16))</f>
        <v/>
      </c>
      <c r="G16" s="13" t="inlineStr"/>
    </row>
    <row r="17">
      <c r="A17" s="14" t="inlineStr">
        <is>
          <t>2025-10</t>
        </is>
      </c>
      <c r="B17" s="14" t="inlineStr">
        <is>
          <t>Clifton</t>
        </is>
      </c>
      <c r="C17" s="14" t="n">
        <v>9</v>
      </c>
      <c r="D17" s="14" t="n">
        <v>2</v>
      </c>
      <c r="E17" s="14" t="n">
        <v>7</v>
      </c>
      <c r="F17" s="6">
        <f>IF(D17+E17=0,"",E17/(D17+E17))</f>
        <v/>
      </c>
      <c r="G17" s="14" t="inlineStr"/>
    </row>
    <row r="18">
      <c r="A18" s="13" t="inlineStr">
        <is>
          <t>2025-10</t>
        </is>
      </c>
      <c r="B18" s="13" t="inlineStr">
        <is>
          <t>Bloomfield</t>
        </is>
      </c>
      <c r="C18" s="13" t="n">
        <v>6</v>
      </c>
      <c r="D18" s="13" t="n">
        <v>1</v>
      </c>
      <c r="E18" s="13" t="n">
        <v>5</v>
      </c>
      <c r="F18" s="11">
        <f>IF(D18+E18=0,"",E18/(D18+E18))</f>
        <v/>
      </c>
      <c r="G18" s="13" t="inlineStr"/>
    </row>
    <row r="19">
      <c r="A19" s="14" t="inlineStr">
        <is>
          <t>2025-10</t>
        </is>
      </c>
      <c r="B19" s="14" t="inlineStr">
        <is>
          <t>West Orange</t>
        </is>
      </c>
      <c r="C19" s="14" t="n">
        <v>8</v>
      </c>
      <c r="D19" s="14" t="n">
        <v>4</v>
      </c>
      <c r="E19" s="14" t="n">
        <v>4</v>
      </c>
      <c r="F19" s="6">
        <f>IF(D19+E19=0,"",E19/(D19+E19))</f>
        <v/>
      </c>
      <c r="G19" s="14" t="inlineStr"/>
    </row>
    <row r="20">
      <c r="A20" s="13" t="inlineStr">
        <is>
          <t>2025-10</t>
        </is>
      </c>
      <c r="B20" s="13" t="inlineStr">
        <is>
          <t>Montclair</t>
        </is>
      </c>
      <c r="C20" s="13" t="n">
        <v>7</v>
      </c>
      <c r="D20" s="13" t="n">
        <v>4</v>
      </c>
      <c r="E20" s="13" t="n">
        <v>3</v>
      </c>
      <c r="F20" s="11">
        <f>IF(D20+E20=0,"",E20/(D20+E20))</f>
        <v/>
      </c>
      <c r="G20" s="13" t="inlineStr"/>
    </row>
    <row r="21">
      <c r="A21" s="14" t="inlineStr">
        <is>
          <t>2025-10</t>
        </is>
      </c>
      <c r="B21" s="14" t="inlineStr">
        <is>
          <t>North Caldwell</t>
        </is>
      </c>
      <c r="C21" s="14" t="n">
        <v>2</v>
      </c>
      <c r="D21" s="14" t="n">
        <v>0</v>
      </c>
      <c r="E21" s="14" t="n">
        <v>2</v>
      </c>
      <c r="F21" s="6">
        <f>IF(D21+E21=0,"",E21/(D21+E21))</f>
        <v/>
      </c>
      <c r="G21" s="14" t="inlineStr"/>
    </row>
    <row r="22">
      <c r="A22" s="13" t="inlineStr">
        <is>
          <t>2025-10</t>
        </is>
      </c>
      <c r="B22" s="13" t="inlineStr">
        <is>
          <t>Wayne</t>
        </is>
      </c>
      <c r="C22" s="13" t="n">
        <v>2</v>
      </c>
      <c r="D22" s="13" t="n">
        <v>0</v>
      </c>
      <c r="E22" s="13" t="n">
        <v>2</v>
      </c>
      <c r="F22" s="11">
        <f>IF(D22+E22=0,"",E22/(D22+E22))</f>
        <v/>
      </c>
      <c r="G22" s="13" t="inlineStr"/>
    </row>
    <row r="23">
      <c r="A23" s="14" t="inlineStr">
        <is>
          <t>2025-10</t>
        </is>
      </c>
      <c r="B23" s="14" t="inlineStr">
        <is>
          <t>Glen Ridge</t>
        </is>
      </c>
      <c r="C23" s="14" t="n">
        <v>2</v>
      </c>
      <c r="D23" s="14" t="n">
        <v>1</v>
      </c>
      <c r="E23" s="14" t="n">
        <v>1</v>
      </c>
      <c r="F23" s="6">
        <f>IF(D23+E23=0,"",E23/(D23+E23))</f>
        <v/>
      </c>
      <c r="G23" s="14" t="inlineStr"/>
    </row>
    <row r="24">
      <c r="A24" s="13" t="inlineStr">
        <is>
          <t>2025-10</t>
        </is>
      </c>
      <c r="B24" s="13" t="inlineStr">
        <is>
          <t>Livingston</t>
        </is>
      </c>
      <c r="C24" s="13" t="n">
        <v>1</v>
      </c>
      <c r="D24" s="13" t="n">
        <v>0</v>
      </c>
      <c r="E24" s="13" t="n">
        <v>1</v>
      </c>
      <c r="F24" s="11">
        <f>IF(D24+E24=0,"",E24/(D24+E24))</f>
        <v/>
      </c>
      <c r="G24" s="13" t="inlineStr"/>
    </row>
    <row r="25">
      <c r="A25" s="14" t="inlineStr">
        <is>
          <t>2025-10</t>
        </is>
      </c>
      <c r="B25" s="14" t="inlineStr">
        <is>
          <t>Maplewood</t>
        </is>
      </c>
      <c r="C25" s="14" t="n">
        <v>2</v>
      </c>
      <c r="D25" s="14" t="n">
        <v>1</v>
      </c>
      <c r="E25" s="14" t="n">
        <v>1</v>
      </c>
      <c r="F25" s="6">
        <f>IF(D25+E25=0,"",E25/(D25+E25))</f>
        <v/>
      </c>
      <c r="G25" s="14" t="inlineStr"/>
    </row>
    <row r="26">
      <c r="A26" s="13" t="inlineStr">
        <is>
          <t>2025-10</t>
        </is>
      </c>
      <c r="B26" s="13" t="inlineStr">
        <is>
          <t>Montcalir</t>
        </is>
      </c>
      <c r="C26" s="13" t="n">
        <v>1</v>
      </c>
      <c r="D26" s="13" t="n">
        <v>0</v>
      </c>
      <c r="E26" s="13" t="n">
        <v>1</v>
      </c>
      <c r="F26" s="11">
        <f>IF(D26+E26=0,"",E26/(D26+E26))</f>
        <v/>
      </c>
      <c r="G26" s="13" t="inlineStr"/>
    </row>
    <row r="27">
      <c r="A27" s="14" t="inlineStr">
        <is>
          <t>2025-10</t>
        </is>
      </c>
      <c r="B27" s="14" t="inlineStr">
        <is>
          <t>Morris Plains</t>
        </is>
      </c>
      <c r="C27" s="14" t="n">
        <v>1</v>
      </c>
      <c r="D27" s="14" t="n">
        <v>0</v>
      </c>
      <c r="E27" s="14" t="n">
        <v>1</v>
      </c>
      <c r="F27" s="6">
        <f>IF(D27+E27=0,"",E27/(D27+E27))</f>
        <v/>
      </c>
      <c r="G27" s="14" t="inlineStr"/>
    </row>
    <row r="28">
      <c r="A28" s="13" t="inlineStr">
        <is>
          <t>2025-10</t>
        </is>
      </c>
      <c r="B28" s="13" t="inlineStr">
        <is>
          <t>Newark</t>
        </is>
      </c>
      <c r="C28" s="13" t="n">
        <v>1</v>
      </c>
      <c r="D28" s="13" t="n">
        <v>0</v>
      </c>
      <c r="E28" s="13" t="n">
        <v>1</v>
      </c>
      <c r="F28" s="11">
        <f>IF(D28+E28=0,"",E28/(D28+E28))</f>
        <v/>
      </c>
      <c r="G28" s="13" t="inlineStr"/>
    </row>
    <row r="29">
      <c r="A29" s="14" t="inlineStr">
        <is>
          <t>2025-10</t>
        </is>
      </c>
      <c r="B29" s="14" t="inlineStr">
        <is>
          <t>Nutley</t>
        </is>
      </c>
      <c r="C29" s="14" t="n">
        <v>1</v>
      </c>
      <c r="D29" s="14" t="n">
        <v>0</v>
      </c>
      <c r="E29" s="14" t="n">
        <v>1</v>
      </c>
      <c r="F29" s="6">
        <f>IF(D29+E29=0,"",E29/(D29+E29))</f>
        <v/>
      </c>
      <c r="G29" s="14" t="inlineStr"/>
    </row>
    <row r="30">
      <c r="A30" s="13" t="inlineStr">
        <is>
          <t>2025-10</t>
        </is>
      </c>
      <c r="B30" s="13" t="inlineStr">
        <is>
          <t>Randolph</t>
        </is>
      </c>
      <c r="C30" s="13" t="n">
        <v>1</v>
      </c>
      <c r="D30" s="13" t="n">
        <v>0</v>
      </c>
      <c r="E30" s="13" t="n">
        <v>1</v>
      </c>
      <c r="F30" s="11">
        <f>IF(D30+E30=0,"",E30/(D30+E30))</f>
        <v/>
      </c>
      <c r="G30" s="13" t="inlineStr"/>
    </row>
    <row r="31">
      <c r="A31" s="14" t="inlineStr">
        <is>
          <t>2025-10</t>
        </is>
      </c>
      <c r="B31" s="14" t="inlineStr">
        <is>
          <t>Roseland</t>
        </is>
      </c>
      <c r="C31" s="14" t="n">
        <v>2</v>
      </c>
      <c r="D31" s="14" t="n">
        <v>1</v>
      </c>
      <c r="E31" s="14" t="n">
        <v>1</v>
      </c>
      <c r="F31" s="6">
        <f>IF(D31+E31=0,"",E31/(D31+E31))</f>
        <v/>
      </c>
      <c r="G31" s="14" t="inlineStr"/>
    </row>
    <row r="32">
      <c r="A32" s="13" t="inlineStr">
        <is>
          <t>2025-10</t>
        </is>
      </c>
      <c r="B32" s="13" t="inlineStr">
        <is>
          <t>Summit</t>
        </is>
      </c>
      <c r="C32" s="13" t="n">
        <v>1</v>
      </c>
      <c r="D32" s="13" t="n">
        <v>0</v>
      </c>
      <c r="E32" s="13" t="n">
        <v>1</v>
      </c>
      <c r="F32" s="11">
        <f>IF(D32+E32=0,"",E32/(D32+E32))</f>
        <v/>
      </c>
      <c r="G32" s="13" t="inlineStr"/>
    </row>
    <row r="33">
      <c r="A33" s="14" t="inlineStr">
        <is>
          <t>2025-10</t>
        </is>
      </c>
      <c r="B33" s="14" t="inlineStr">
        <is>
          <t>Union</t>
        </is>
      </c>
      <c r="C33" s="14" t="n">
        <v>1</v>
      </c>
      <c r="D33" s="14" t="n">
        <v>0</v>
      </c>
      <c r="E33" s="14" t="n">
        <v>1</v>
      </c>
      <c r="F33" s="6">
        <f>IF(D33+E33=0,"",E33/(D33+E33))</f>
        <v/>
      </c>
      <c r="G33" s="14" t="inlineStr"/>
    </row>
    <row r="34">
      <c r="A34" s="13" t="inlineStr">
        <is>
          <t>2025-10</t>
        </is>
      </c>
      <c r="B34" s="13" t="inlineStr">
        <is>
          <t>Verona</t>
        </is>
      </c>
      <c r="C34" s="13" t="n">
        <v>2</v>
      </c>
      <c r="D34" s="13" t="n">
        <v>1</v>
      </c>
      <c r="E34" s="13" t="n">
        <v>1</v>
      </c>
      <c r="F34" s="11">
        <f>IF(D34+E34=0,"",E34/(D34+E34))</f>
        <v/>
      </c>
      <c r="G34" s="13" t="inlineStr"/>
    </row>
    <row r="35">
      <c r="A35" s="14" t="inlineStr">
        <is>
          <t>2025-10</t>
        </is>
      </c>
      <c r="B35" s="14" t="inlineStr">
        <is>
          <t>Caldwell</t>
        </is>
      </c>
      <c r="C35" s="14" t="n">
        <v>3</v>
      </c>
      <c r="D35" s="14" t="n">
        <v>3</v>
      </c>
      <c r="E35" s="14" t="n">
        <v>0</v>
      </c>
      <c r="F35" s="6">
        <f>IF(D35+E35=0,"",E35/(D35+E35))</f>
        <v/>
      </c>
      <c r="G35" s="14" t="inlineStr"/>
    </row>
    <row r="36">
      <c r="A36" s="13" t="inlineStr">
        <is>
          <t>2025-10</t>
        </is>
      </c>
      <c r="B36" s="13" t="inlineStr">
        <is>
          <t>Cedar Grove</t>
        </is>
      </c>
      <c r="C36" s="13" t="n">
        <v>1</v>
      </c>
      <c r="D36" s="13" t="n">
        <v>1</v>
      </c>
      <c r="E36" s="13" t="n">
        <v>0</v>
      </c>
      <c r="F36" s="11">
        <f>IF(D36+E36=0,"",E36/(D36+E36))</f>
        <v/>
      </c>
      <c r="G36" s="13" t="inlineStr"/>
    </row>
    <row r="37">
      <c r="A37" s="14" t="inlineStr">
        <is>
          <t>2025-10</t>
        </is>
      </c>
      <c r="B37" s="14" t="inlineStr">
        <is>
          <t>Chatham</t>
        </is>
      </c>
      <c r="C37" s="14" t="n">
        <v>1</v>
      </c>
      <c r="D37" s="14" t="n">
        <v>1</v>
      </c>
      <c r="E37" s="14" t="n">
        <v>0</v>
      </c>
      <c r="F37" s="6">
        <f>IF(D37+E37=0,"",E37/(D37+E37))</f>
        <v/>
      </c>
      <c r="G37" s="14" t="inlineStr"/>
    </row>
    <row r="38">
      <c r="A38" s="13" t="inlineStr">
        <is>
          <t>2025-10</t>
        </is>
      </c>
      <c r="B38" s="13" t="inlineStr">
        <is>
          <t>Lyndhurst</t>
        </is>
      </c>
      <c r="C38" s="13" t="n">
        <v>1</v>
      </c>
      <c r="D38" s="13" t="n">
        <v>1</v>
      </c>
      <c r="E38" s="13" t="n">
        <v>0</v>
      </c>
      <c r="F38" s="11">
        <f>IF(D38+E38=0,"",E38/(D38+E38))</f>
        <v/>
      </c>
      <c r="G38" s="13" t="inlineStr"/>
    </row>
    <row r="39">
      <c r="A39" s="14" t="inlineStr">
        <is>
          <t>2025-10</t>
        </is>
      </c>
      <c r="B39" s="14" t="inlineStr">
        <is>
          <t>South Orange</t>
        </is>
      </c>
      <c r="C39" s="14" t="n">
        <v>1</v>
      </c>
      <c r="D39" s="14" t="n">
        <v>1</v>
      </c>
      <c r="E39" s="14" t="n">
        <v>0</v>
      </c>
      <c r="F39" s="6">
        <f>IF(D39+E39=0,"",E39/(D39+E39))</f>
        <v/>
      </c>
      <c r="G39" s="14" t="inlineStr"/>
    </row>
    <row r="40">
      <c r="A40" s="13" t="inlineStr">
        <is>
          <t>2025-10</t>
        </is>
      </c>
      <c r="B40" s="13" t="inlineStr">
        <is>
          <t>West Caldwell</t>
        </is>
      </c>
      <c r="C40" s="13" t="n">
        <v>1</v>
      </c>
      <c r="D40" s="13" t="n">
        <v>0</v>
      </c>
      <c r="E40" s="13" t="n">
        <v>0</v>
      </c>
      <c r="F40" s="11">
        <f>IF(D40+E40=0,"",E40/(D40+E40))</f>
        <v/>
      </c>
      <c r="G40" s="13" t="inlineStr"/>
    </row>
    <row r="41">
      <c r="A41" s="14" t="inlineStr">
        <is>
          <t>2025-11</t>
        </is>
      </c>
      <c r="B41" s="14" t="inlineStr">
        <is>
          <t>Montclair</t>
        </is>
      </c>
      <c r="C41" s="14" t="n">
        <v>8</v>
      </c>
      <c r="D41" s="14" t="n">
        <v>3</v>
      </c>
      <c r="E41" s="14" t="n">
        <v>5</v>
      </c>
      <c r="F41" s="6">
        <f>IF(D41+E41=0,"",E41/(D41+E41))</f>
        <v/>
      </c>
      <c r="G41" s="14" t="inlineStr"/>
    </row>
    <row r="42">
      <c r="A42" s="13" t="inlineStr">
        <is>
          <t>2025-11</t>
        </is>
      </c>
      <c r="B42" s="13" t="inlineStr">
        <is>
          <t>Randolph</t>
        </is>
      </c>
      <c r="C42" s="13" t="n">
        <v>5</v>
      </c>
      <c r="D42" s="13" t="n">
        <v>0</v>
      </c>
      <c r="E42" s="13" t="n">
        <v>5</v>
      </c>
      <c r="F42" s="11">
        <f>IF(D42+E42=0,"",E42/(D42+E42))</f>
        <v/>
      </c>
      <c r="G42" s="13" t="inlineStr"/>
    </row>
    <row r="43">
      <c r="A43" s="14" t="inlineStr">
        <is>
          <t>2025-11</t>
        </is>
      </c>
      <c r="B43" s="14" t="inlineStr">
        <is>
          <t>Bloomfield</t>
        </is>
      </c>
      <c r="C43" s="14" t="n">
        <v>3</v>
      </c>
      <c r="D43" s="14" t="n">
        <v>1</v>
      </c>
      <c r="E43" s="14" t="n">
        <v>2</v>
      </c>
      <c r="F43" s="6">
        <f>IF(D43+E43=0,"",E43/(D43+E43))</f>
        <v/>
      </c>
      <c r="G43" s="14" t="inlineStr"/>
    </row>
    <row r="44">
      <c r="A44" s="13" t="inlineStr">
        <is>
          <t>2025-11</t>
        </is>
      </c>
      <c r="B44" s="13" t="inlineStr">
        <is>
          <t>Caldwell</t>
        </is>
      </c>
      <c r="C44" s="13" t="n">
        <v>2</v>
      </c>
      <c r="D44" s="13" t="n">
        <v>0</v>
      </c>
      <c r="E44" s="13" t="n">
        <v>2</v>
      </c>
      <c r="F44" s="11">
        <f>IF(D44+E44=0,"",E44/(D44+E44))</f>
        <v/>
      </c>
      <c r="G44" s="13" t="inlineStr"/>
    </row>
    <row r="45">
      <c r="A45" s="14" t="inlineStr">
        <is>
          <t>2025-11</t>
        </is>
      </c>
      <c r="B45" s="14" t="inlineStr">
        <is>
          <t>Chatham</t>
        </is>
      </c>
      <c r="C45" s="14" t="n">
        <v>1</v>
      </c>
      <c r="D45" s="14" t="n">
        <v>0</v>
      </c>
      <c r="E45" s="14" t="n">
        <v>1</v>
      </c>
      <c r="F45" s="6">
        <f>IF(D45+E45=0,"",E45/(D45+E45))</f>
        <v/>
      </c>
      <c r="G45" s="14" t="inlineStr"/>
    </row>
    <row r="46">
      <c r="A46" s="13" t="inlineStr">
        <is>
          <t>2025-11</t>
        </is>
      </c>
      <c r="B46" s="13" t="inlineStr">
        <is>
          <t>Clifton</t>
        </is>
      </c>
      <c r="C46" s="13" t="n">
        <v>1</v>
      </c>
      <c r="D46" s="13" t="n">
        <v>0</v>
      </c>
      <c r="E46" s="13" t="n">
        <v>1</v>
      </c>
      <c r="F46" s="11">
        <f>IF(D46+E46=0,"",E46/(D46+E46))</f>
        <v/>
      </c>
      <c r="G46" s="13" t="inlineStr"/>
    </row>
    <row r="47">
      <c r="A47" s="14" t="inlineStr">
        <is>
          <t>2025-11</t>
        </is>
      </c>
      <c r="B47" s="14" t="inlineStr">
        <is>
          <t>Essex Fells</t>
        </is>
      </c>
      <c r="C47" s="14" t="n">
        <v>1</v>
      </c>
      <c r="D47" s="14" t="n">
        <v>0</v>
      </c>
      <c r="E47" s="14" t="n">
        <v>1</v>
      </c>
      <c r="F47" s="6">
        <f>IF(D47+E47=0,"",E47/(D47+E47))</f>
        <v/>
      </c>
      <c r="G47" s="14" t="inlineStr"/>
    </row>
    <row r="48">
      <c r="A48" s="13" t="inlineStr">
        <is>
          <t>2025-11</t>
        </is>
      </c>
      <c r="B48" s="13" t="inlineStr">
        <is>
          <t>Glen Ridge</t>
        </is>
      </c>
      <c r="C48" s="13" t="n">
        <v>2</v>
      </c>
      <c r="D48" s="13" t="n">
        <v>1</v>
      </c>
      <c r="E48" s="13" t="n">
        <v>1</v>
      </c>
      <c r="F48" s="11">
        <f>IF(D48+E48=0,"",E48/(D48+E48))</f>
        <v/>
      </c>
      <c r="G48" s="13" t="inlineStr"/>
    </row>
    <row r="49">
      <c r="A49" s="14" t="inlineStr">
        <is>
          <t>2025-11</t>
        </is>
      </c>
      <c r="B49" s="14" t="inlineStr">
        <is>
          <t>Kearny</t>
        </is>
      </c>
      <c r="C49" s="14" t="n">
        <v>1</v>
      </c>
      <c r="D49" s="14" t="n">
        <v>0</v>
      </c>
      <c r="E49" s="14" t="n">
        <v>1</v>
      </c>
      <c r="F49" s="6">
        <f>IF(D49+E49=0,"",E49/(D49+E49))</f>
        <v/>
      </c>
      <c r="G49" s="14" t="inlineStr"/>
    </row>
    <row r="50">
      <c r="A50" s="13" t="inlineStr">
        <is>
          <t>2025-11</t>
        </is>
      </c>
      <c r="B50" s="13" t="inlineStr">
        <is>
          <t>Livingston</t>
        </is>
      </c>
      <c r="C50" s="13" t="n">
        <v>2</v>
      </c>
      <c r="D50" s="13" t="n">
        <v>1</v>
      </c>
      <c r="E50" s="13" t="n">
        <v>1</v>
      </c>
      <c r="F50" s="11">
        <f>IF(D50+E50=0,"",E50/(D50+E50))</f>
        <v/>
      </c>
      <c r="G50" s="13" t="inlineStr"/>
    </row>
    <row r="51">
      <c r="A51" s="14" t="inlineStr">
        <is>
          <t>2025-11</t>
        </is>
      </c>
      <c r="B51" s="14" t="inlineStr">
        <is>
          <t>Nutley</t>
        </is>
      </c>
      <c r="C51" s="14" t="n">
        <v>1</v>
      </c>
      <c r="D51" s="14" t="n">
        <v>0</v>
      </c>
      <c r="E51" s="14" t="n">
        <v>1</v>
      </c>
      <c r="F51" s="6">
        <f>IF(D51+E51=0,"",E51/(D51+E51))</f>
        <v/>
      </c>
      <c r="G51" s="14" t="inlineStr"/>
    </row>
    <row r="52">
      <c r="A52" s="13" t="inlineStr">
        <is>
          <t>2025-11</t>
        </is>
      </c>
      <c r="B52" s="13" t="inlineStr">
        <is>
          <t>Orange</t>
        </is>
      </c>
      <c r="C52" s="13" t="n">
        <v>1</v>
      </c>
      <c r="D52" s="13" t="n">
        <v>0</v>
      </c>
      <c r="E52" s="13" t="n">
        <v>1</v>
      </c>
      <c r="F52" s="11">
        <f>IF(D52+E52=0,"",E52/(D52+E52))</f>
        <v/>
      </c>
      <c r="G52" s="13" t="inlineStr"/>
    </row>
    <row r="53">
      <c r="A53" s="14" t="inlineStr">
        <is>
          <t>2025-11</t>
        </is>
      </c>
      <c r="B53" s="14" t="inlineStr">
        <is>
          <t>Short Hills</t>
        </is>
      </c>
      <c r="C53" s="14" t="n">
        <v>1</v>
      </c>
      <c r="D53" s="14" t="n">
        <v>0</v>
      </c>
      <c r="E53" s="14" t="n">
        <v>1</v>
      </c>
      <c r="F53" s="6">
        <f>IF(D53+E53=0,"",E53/(D53+E53))</f>
        <v/>
      </c>
      <c r="G53" s="14" t="inlineStr"/>
    </row>
    <row r="54">
      <c r="A54" s="13" t="inlineStr">
        <is>
          <t>2025-11</t>
        </is>
      </c>
      <c r="B54" s="13" t="inlineStr">
        <is>
          <t>Verona</t>
        </is>
      </c>
      <c r="C54" s="13" t="n">
        <v>1</v>
      </c>
      <c r="D54" s="13" t="n">
        <v>0</v>
      </c>
      <c r="E54" s="13" t="n">
        <v>1</v>
      </c>
      <c r="F54" s="11">
        <f>IF(D54+E54=0,"",E54/(D54+E54))</f>
        <v/>
      </c>
      <c r="G54" s="13" t="inlineStr"/>
    </row>
    <row r="55">
      <c r="A55" s="14" t="inlineStr">
        <is>
          <t>2025-11</t>
        </is>
      </c>
      <c r="B55" s="14" t="inlineStr">
        <is>
          <t>West Orange</t>
        </is>
      </c>
      <c r="C55" s="14" t="n">
        <v>1</v>
      </c>
      <c r="D55" s="14" t="n">
        <v>0</v>
      </c>
      <c r="E55" s="14" t="n">
        <v>1</v>
      </c>
      <c r="F55" s="6">
        <f>IF(D55+E55=0,"",E55/(D55+E55))</f>
        <v/>
      </c>
      <c r="G55" s="14" t="inlineStr"/>
    </row>
    <row r="56">
      <c r="A56" s="13" t="inlineStr">
        <is>
          <t>2025-11</t>
        </is>
      </c>
      <c r="B56" s="13" t="inlineStr">
        <is>
          <t>Union</t>
        </is>
      </c>
      <c r="C56" s="13" t="n">
        <v>1</v>
      </c>
      <c r="D56" s="13" t="n">
        <v>1</v>
      </c>
      <c r="E56" s="13" t="n">
        <v>0</v>
      </c>
      <c r="F56" s="11">
        <f>IF(D56+E56=0,"",E56/(D56+E56))</f>
        <v/>
      </c>
      <c r="G56" s="13" t="inlineStr"/>
    </row>
    <row r="57">
      <c r="A57" s="14" t="inlineStr">
        <is>
          <t>2025-12</t>
        </is>
      </c>
      <c r="B57" s="14" t="inlineStr">
        <is>
          <t>Bloomfield</t>
        </is>
      </c>
      <c r="C57" s="14" t="n">
        <v>5</v>
      </c>
      <c r="D57" s="14" t="n">
        <v>2</v>
      </c>
      <c r="E57" s="14" t="n">
        <v>3</v>
      </c>
      <c r="F57" s="6">
        <f>IF(D57+E57=0,"",E57/(D57+E57))</f>
        <v/>
      </c>
      <c r="G57" s="14" t="inlineStr"/>
    </row>
    <row r="58">
      <c r="A58" s="13" t="inlineStr">
        <is>
          <t>2025-12</t>
        </is>
      </c>
      <c r="B58" s="13" t="inlineStr">
        <is>
          <t>Randolph</t>
        </is>
      </c>
      <c r="C58" s="13" t="n">
        <v>2</v>
      </c>
      <c r="D58" s="13" t="n">
        <v>0</v>
      </c>
      <c r="E58" s="13" t="n">
        <v>2</v>
      </c>
      <c r="F58" s="11">
        <f>IF(D58+E58=0,"",E58/(D58+E58))</f>
        <v/>
      </c>
      <c r="G58" s="13" t="inlineStr"/>
    </row>
    <row r="59">
      <c r="A59" s="14" t="inlineStr">
        <is>
          <t>2025-12</t>
        </is>
      </c>
      <c r="B59" s="14" t="inlineStr">
        <is>
          <t>Verona</t>
        </is>
      </c>
      <c r="C59" s="14" t="n">
        <v>5</v>
      </c>
      <c r="D59" s="14" t="n">
        <v>3</v>
      </c>
      <c r="E59" s="14" t="n">
        <v>2</v>
      </c>
      <c r="F59" s="6">
        <f>IF(D59+E59=0,"",E59/(D59+E59))</f>
        <v/>
      </c>
      <c r="G59" s="14" t="inlineStr"/>
    </row>
    <row r="60">
      <c r="A60" s="13" t="inlineStr">
        <is>
          <t>2025-12</t>
        </is>
      </c>
      <c r="B60" s="13" t="inlineStr">
        <is>
          <t>Colonia</t>
        </is>
      </c>
      <c r="C60" s="13" t="n">
        <v>1</v>
      </c>
      <c r="D60" s="13" t="n">
        <v>0</v>
      </c>
      <c r="E60" s="13" t="n">
        <v>1</v>
      </c>
      <c r="F60" s="11">
        <f>IF(D60+E60=0,"",E60/(D60+E60))</f>
        <v/>
      </c>
      <c r="G60" s="13" t="inlineStr"/>
    </row>
    <row r="61">
      <c r="A61" s="14" t="inlineStr">
        <is>
          <t>2025-12</t>
        </is>
      </c>
      <c r="B61" s="14" t="inlineStr">
        <is>
          <t>Irvington</t>
        </is>
      </c>
      <c r="C61" s="14" t="n">
        <v>1</v>
      </c>
      <c r="D61" s="14" t="n">
        <v>0</v>
      </c>
      <c r="E61" s="14" t="n">
        <v>1</v>
      </c>
      <c r="F61" s="6">
        <f>IF(D61+E61=0,"",E61/(D61+E61))</f>
        <v/>
      </c>
      <c r="G61" s="14" t="inlineStr"/>
    </row>
    <row r="62">
      <c r="A62" s="13" t="inlineStr">
        <is>
          <t>2025-12</t>
        </is>
      </c>
      <c r="B62" s="13" t="inlineStr">
        <is>
          <t>Livingston</t>
        </is>
      </c>
      <c r="C62" s="13" t="n">
        <v>1</v>
      </c>
      <c r="D62" s="13" t="n">
        <v>0</v>
      </c>
      <c r="E62" s="13" t="n">
        <v>1</v>
      </c>
      <c r="F62" s="11">
        <f>IF(D62+E62=0,"",E62/(D62+E62))</f>
        <v/>
      </c>
      <c r="G62" s="13" t="inlineStr"/>
    </row>
    <row r="63">
      <c r="A63" s="14" t="inlineStr">
        <is>
          <t>2025-12</t>
        </is>
      </c>
      <c r="B63" s="14" t="inlineStr">
        <is>
          <t>Lyndhurst</t>
        </is>
      </c>
      <c r="C63" s="14" t="n">
        <v>1</v>
      </c>
      <c r="D63" s="14" t="n">
        <v>0</v>
      </c>
      <c r="E63" s="14" t="n">
        <v>1</v>
      </c>
      <c r="F63" s="6">
        <f>IF(D63+E63=0,"",E63/(D63+E63))</f>
        <v/>
      </c>
      <c r="G63" s="14" t="inlineStr"/>
    </row>
    <row r="64">
      <c r="A64" s="13" t="inlineStr">
        <is>
          <t>2025-12</t>
        </is>
      </c>
      <c r="B64" s="13" t="inlineStr">
        <is>
          <t>Pisctaway</t>
        </is>
      </c>
      <c r="C64" s="13" t="n">
        <v>1</v>
      </c>
      <c r="D64" s="13" t="n">
        <v>0</v>
      </c>
      <c r="E64" s="13" t="n">
        <v>1</v>
      </c>
      <c r="F64" s="11">
        <f>IF(D64+E64=0,"",E64/(D64+E64))</f>
        <v/>
      </c>
      <c r="G64" s="13" t="inlineStr"/>
    </row>
    <row r="65">
      <c r="A65" s="14" t="inlineStr">
        <is>
          <t>2025-12</t>
        </is>
      </c>
      <c r="B65" s="14" t="inlineStr">
        <is>
          <t>West Orange</t>
        </is>
      </c>
      <c r="C65" s="14" t="n">
        <v>1</v>
      </c>
      <c r="D65" s="14" t="n">
        <v>0</v>
      </c>
      <c r="E65" s="14" t="n">
        <v>1</v>
      </c>
      <c r="F65" s="6">
        <f>IF(D65+E65=0,"",E65/(D65+E65))</f>
        <v/>
      </c>
      <c r="G65" s="14" t="inlineStr"/>
    </row>
    <row r="66">
      <c r="A66" s="13" t="inlineStr">
        <is>
          <t>2025-12</t>
        </is>
      </c>
      <c r="B66" s="13" t="inlineStr">
        <is>
          <t>Cedar Grove</t>
        </is>
      </c>
      <c r="C66" s="13" t="n">
        <v>1</v>
      </c>
      <c r="D66" s="13" t="n">
        <v>1</v>
      </c>
      <c r="E66" s="13" t="n">
        <v>0</v>
      </c>
      <c r="F66" s="11">
        <f>IF(D66+E66=0,"",E66/(D66+E66))</f>
        <v/>
      </c>
      <c r="G66" s="13" t="inlineStr"/>
    </row>
    <row r="67">
      <c r="A67" s="14" t="inlineStr">
        <is>
          <t>2025-12</t>
        </is>
      </c>
      <c r="B67" s="14" t="inlineStr">
        <is>
          <t>Clifton</t>
        </is>
      </c>
      <c r="C67" s="14" t="n">
        <v>1</v>
      </c>
      <c r="D67" s="14" t="n">
        <v>1</v>
      </c>
      <c r="E67" s="14" t="n">
        <v>0</v>
      </c>
      <c r="F67" s="6">
        <f>IF(D67+E67=0,"",E67/(D67+E67))</f>
        <v/>
      </c>
      <c r="G67" s="14" t="inlineStr"/>
    </row>
    <row r="68">
      <c r="A68" s="13" t="inlineStr">
        <is>
          <t>2025-12</t>
        </is>
      </c>
      <c r="B68" s="13" t="inlineStr">
        <is>
          <t>Los Angeles</t>
        </is>
      </c>
      <c r="C68" s="13" t="n">
        <v>1</v>
      </c>
      <c r="D68" s="13" t="n">
        <v>1</v>
      </c>
      <c r="E68" s="13" t="n">
        <v>0</v>
      </c>
      <c r="F68" s="11">
        <f>IF(D68+E68=0,"",E68/(D68+E68))</f>
        <v/>
      </c>
      <c r="G68" s="13" t="inlineStr">
        <is>
          <t>Yes</t>
        </is>
      </c>
    </row>
    <row r="69">
      <c r="A69" s="14" t="inlineStr">
        <is>
          <t>2025-12</t>
        </is>
      </c>
      <c r="B69" s="14" t="inlineStr">
        <is>
          <t>Montclair</t>
        </is>
      </c>
      <c r="C69" s="14" t="n">
        <v>1</v>
      </c>
      <c r="D69" s="14" t="n">
        <v>1</v>
      </c>
      <c r="E69" s="14" t="n">
        <v>0</v>
      </c>
      <c r="F69" s="6">
        <f>IF(D69+E69=0,"",E69/(D69+E69))</f>
        <v/>
      </c>
      <c r="G69" s="14" t="inlineStr"/>
    </row>
    <row r="70">
      <c r="A70" s="13" t="inlineStr">
        <is>
          <t>2025-12</t>
        </is>
      </c>
      <c r="B70" s="13" t="inlineStr">
        <is>
          <t>Mountain View</t>
        </is>
      </c>
      <c r="C70" s="13" t="n">
        <v>1</v>
      </c>
      <c r="D70" s="13" t="n">
        <v>1</v>
      </c>
      <c r="E70" s="13" t="n">
        <v>0</v>
      </c>
      <c r="F70" s="11">
        <f>IF(D70+E70=0,"",E70/(D70+E70))</f>
        <v/>
      </c>
      <c r="G70" s="13" t="inlineStr"/>
    </row>
    <row r="71">
      <c r="A71" s="14" t="inlineStr">
        <is>
          <t>2025-12</t>
        </is>
      </c>
      <c r="B71" s="14" t="inlineStr">
        <is>
          <t>South Orange</t>
        </is>
      </c>
      <c r="C71" s="14" t="n">
        <v>1</v>
      </c>
      <c r="D71" s="14" t="n">
        <v>1</v>
      </c>
      <c r="E71" s="14" t="n">
        <v>0</v>
      </c>
      <c r="F71" s="6">
        <f>IF(D71+E71=0,"",E71/(D71+E71))</f>
        <v/>
      </c>
      <c r="G71" s="14" t="inlineStr"/>
    </row>
    <row r="72">
      <c r="A72" s="13" t="inlineStr">
        <is>
          <t>2026-01</t>
        </is>
      </c>
      <c r="B72" s="13" t="inlineStr">
        <is>
          <t>Bloomfield</t>
        </is>
      </c>
      <c r="C72" s="13" t="n">
        <v>5</v>
      </c>
      <c r="D72" s="13" t="n">
        <v>1</v>
      </c>
      <c r="E72" s="13" t="n">
        <v>4</v>
      </c>
      <c r="F72" s="11">
        <f>IF(D72+E72=0,"",E72/(D72+E72))</f>
        <v/>
      </c>
      <c r="G72" s="13" t="inlineStr"/>
    </row>
    <row r="73">
      <c r="A73" s="14" t="inlineStr">
        <is>
          <t>2026-01</t>
        </is>
      </c>
      <c r="B73" s="14" t="inlineStr">
        <is>
          <t>Clifton</t>
        </is>
      </c>
      <c r="C73" s="14" t="n">
        <v>3</v>
      </c>
      <c r="D73" s="14" t="n">
        <v>1</v>
      </c>
      <c r="E73" s="14" t="n">
        <v>2</v>
      </c>
      <c r="F73" s="6">
        <f>IF(D73+E73=0,"",E73/(D73+E73))</f>
        <v/>
      </c>
      <c r="G73" s="14" t="inlineStr"/>
    </row>
    <row r="74">
      <c r="A74" s="13" t="inlineStr">
        <is>
          <t>2026-01</t>
        </is>
      </c>
      <c r="B74" s="13" t="inlineStr">
        <is>
          <t>Livingston</t>
        </is>
      </c>
      <c r="C74" s="13" t="n">
        <v>2</v>
      </c>
      <c r="D74" s="13" t="n">
        <v>0</v>
      </c>
      <c r="E74" s="13" t="n">
        <v>2</v>
      </c>
      <c r="F74" s="11">
        <f>IF(D74+E74=0,"",E74/(D74+E74))</f>
        <v/>
      </c>
      <c r="G74" s="13" t="inlineStr"/>
    </row>
    <row r="75">
      <c r="A75" s="14" t="inlineStr">
        <is>
          <t>2026-01</t>
        </is>
      </c>
      <c r="B75" s="14" t="inlineStr">
        <is>
          <t>Montville</t>
        </is>
      </c>
      <c r="C75" s="14" t="n">
        <v>2</v>
      </c>
      <c r="D75" s="14" t="n">
        <v>0</v>
      </c>
      <c r="E75" s="14" t="n">
        <v>2</v>
      </c>
      <c r="F75" s="6">
        <f>IF(D75+E75=0,"",E75/(D75+E75))</f>
        <v/>
      </c>
      <c r="G75" s="14" t="inlineStr"/>
    </row>
    <row r="76">
      <c r="A76" s="13" t="inlineStr">
        <is>
          <t>2026-01</t>
        </is>
      </c>
      <c r="B76" s="13" t="inlineStr">
        <is>
          <t>Cedar Grove</t>
        </is>
      </c>
      <c r="C76" s="13" t="n">
        <v>1</v>
      </c>
      <c r="D76" s="13" t="n">
        <v>0</v>
      </c>
      <c r="E76" s="13" t="n">
        <v>1</v>
      </c>
      <c r="F76" s="11">
        <f>IF(D76+E76=0,"",E76/(D76+E76))</f>
        <v/>
      </c>
      <c r="G76" s="13" t="inlineStr"/>
    </row>
    <row r="77">
      <c r="A77" s="14" t="inlineStr">
        <is>
          <t>2026-01</t>
        </is>
      </c>
      <c r="B77" s="14" t="inlineStr">
        <is>
          <t>East Orange</t>
        </is>
      </c>
      <c r="C77" s="14" t="n">
        <v>2</v>
      </c>
      <c r="D77" s="14" t="n">
        <v>1</v>
      </c>
      <c r="E77" s="14" t="n">
        <v>1</v>
      </c>
      <c r="F77" s="6">
        <f>IF(D77+E77=0,"",E77/(D77+E77))</f>
        <v/>
      </c>
      <c r="G77" s="14" t="inlineStr"/>
    </row>
    <row r="78">
      <c r="A78" s="13" t="inlineStr">
        <is>
          <t>2026-01</t>
        </is>
      </c>
      <c r="B78" s="13" t="inlineStr">
        <is>
          <t>Paterson</t>
        </is>
      </c>
      <c r="C78" s="13" t="n">
        <v>1</v>
      </c>
      <c r="D78" s="13" t="n">
        <v>0</v>
      </c>
      <c r="E78" s="13" t="n">
        <v>1</v>
      </c>
      <c r="F78" s="11">
        <f>IF(D78+E78=0,"",E78/(D78+E78))</f>
        <v/>
      </c>
      <c r="G78" s="13" t="inlineStr"/>
    </row>
    <row r="79">
      <c r="A79" s="14" t="inlineStr">
        <is>
          <t>2026-01</t>
        </is>
      </c>
      <c r="B79" s="14" t="inlineStr">
        <is>
          <t>Waldwick</t>
        </is>
      </c>
      <c r="C79" s="14" t="n">
        <v>1</v>
      </c>
      <c r="D79" s="14" t="n">
        <v>0</v>
      </c>
      <c r="E79" s="14" t="n">
        <v>1</v>
      </c>
      <c r="F79" s="6">
        <f>IF(D79+E79=0,"",E79/(D79+E79))</f>
        <v/>
      </c>
      <c r="G79" s="14" t="inlineStr"/>
    </row>
    <row r="80">
      <c r="A80" s="13" t="inlineStr">
        <is>
          <t>2026-01</t>
        </is>
      </c>
      <c r="B80" s="13" t="inlineStr">
        <is>
          <t>West Orange</t>
        </is>
      </c>
      <c r="C80" s="13" t="n">
        <v>1</v>
      </c>
      <c r="D80" s="13" t="n">
        <v>0</v>
      </c>
      <c r="E80" s="13" t="n">
        <v>1</v>
      </c>
      <c r="F80" s="11">
        <f>IF(D80+E80=0,"",E80/(D80+E80))</f>
        <v/>
      </c>
      <c r="G80" s="13" t="inlineStr"/>
    </row>
    <row r="81">
      <c r="A81" s="14" t="inlineStr">
        <is>
          <t>2026-01</t>
        </is>
      </c>
      <c r="B81" s="14" t="inlineStr">
        <is>
          <t>Glen Ridge</t>
        </is>
      </c>
      <c r="C81" s="14" t="n">
        <v>2</v>
      </c>
      <c r="D81" s="14" t="n">
        <v>2</v>
      </c>
      <c r="E81" s="14" t="n">
        <v>0</v>
      </c>
      <c r="F81" s="6">
        <f>IF(D81+E81=0,"",E81/(D81+E81))</f>
        <v/>
      </c>
      <c r="G81" s="14" t="inlineStr"/>
    </row>
    <row r="82">
      <c r="A82" s="13" t="inlineStr">
        <is>
          <t>2026-01</t>
        </is>
      </c>
      <c r="B82" s="13" t="inlineStr">
        <is>
          <t>Montclair</t>
        </is>
      </c>
      <c r="C82" s="13" t="n">
        <v>9</v>
      </c>
      <c r="D82" s="13" t="n">
        <v>9</v>
      </c>
      <c r="E82" s="13" t="n">
        <v>0</v>
      </c>
      <c r="F82" s="11">
        <f>IF(D82+E82=0,"",E82/(D82+E82))</f>
        <v/>
      </c>
      <c r="G82" s="13" t="inlineStr"/>
    </row>
    <row r="83">
      <c r="A83" s="14" t="inlineStr">
        <is>
          <t>2026-01</t>
        </is>
      </c>
      <c r="B83" s="14" t="inlineStr">
        <is>
          <t>North Caldwell</t>
        </is>
      </c>
      <c r="C83" s="14" t="n">
        <v>1</v>
      </c>
      <c r="D83" s="14" t="n">
        <v>1</v>
      </c>
      <c r="E83" s="14" t="n">
        <v>0</v>
      </c>
      <c r="F83" s="6">
        <f>IF(D83+E83=0,"",E83/(D83+E83))</f>
        <v/>
      </c>
      <c r="G83" s="14" t="inlineStr"/>
    </row>
    <row r="84">
      <c r="A84" s="13" t="inlineStr">
        <is>
          <t>2026-01</t>
        </is>
      </c>
      <c r="B84" s="13" t="inlineStr">
        <is>
          <t>South Orange</t>
        </is>
      </c>
      <c r="C84" s="13" t="n">
        <v>1</v>
      </c>
      <c r="D84" s="13" t="n">
        <v>1</v>
      </c>
      <c r="E84" s="13" t="n">
        <v>0</v>
      </c>
      <c r="F84" s="11">
        <f>IF(D84+E84=0,"",E84/(D84+E84))</f>
        <v/>
      </c>
      <c r="G84" s="13" t="inlineStr"/>
    </row>
    <row r="85">
      <c r="A85" s="14" t="inlineStr">
        <is>
          <t>2026-01</t>
        </is>
      </c>
      <c r="B85" s="14" t="inlineStr">
        <is>
          <t>Summit</t>
        </is>
      </c>
      <c r="C85" s="14" t="n">
        <v>1</v>
      </c>
      <c r="D85" s="14" t="n">
        <v>1</v>
      </c>
      <c r="E85" s="14" t="n">
        <v>0</v>
      </c>
      <c r="F85" s="6">
        <f>IF(D85+E85=0,"",E85/(D85+E85))</f>
        <v/>
      </c>
      <c r="G85" s="14" t="inlineStr"/>
    </row>
    <row r="86">
      <c r="A86" s="13" t="inlineStr">
        <is>
          <t>2026-01</t>
        </is>
      </c>
      <c r="B86" s="13" t="inlineStr">
        <is>
          <t>Verona</t>
        </is>
      </c>
      <c r="C86" s="13" t="n">
        <v>2</v>
      </c>
      <c r="D86" s="13" t="n">
        <v>2</v>
      </c>
      <c r="E86" s="13" t="n">
        <v>0</v>
      </c>
      <c r="F86" s="11">
        <f>IF(D86+E86=0,"",E86/(D86+E86))</f>
        <v/>
      </c>
      <c r="G86" s="13" t="inlineStr"/>
    </row>
    <row r="87">
      <c r="A87" s="14" t="inlineStr">
        <is>
          <t>2026-02</t>
        </is>
      </c>
      <c r="B87" s="14" t="inlineStr">
        <is>
          <t>Bloomfield</t>
        </is>
      </c>
      <c r="C87" s="14" t="n">
        <v>2</v>
      </c>
      <c r="D87" s="14" t="n">
        <v>0</v>
      </c>
      <c r="E87" s="14" t="n">
        <v>2</v>
      </c>
      <c r="F87" s="6">
        <f>IF(D87+E87=0,"",E87/(D87+E87))</f>
        <v/>
      </c>
      <c r="G87" s="14" t="inlineStr"/>
    </row>
    <row r="88">
      <c r="A88" s="13" t="inlineStr">
        <is>
          <t>2026-02</t>
        </is>
      </c>
      <c r="B88" s="13" t="inlineStr">
        <is>
          <t>South Orange</t>
        </is>
      </c>
      <c r="C88" s="13" t="n">
        <v>4</v>
      </c>
      <c r="D88" s="13" t="n">
        <v>2</v>
      </c>
      <c r="E88" s="13" t="n">
        <v>2</v>
      </c>
      <c r="F88" s="11">
        <f>IF(D88+E88=0,"",E88/(D88+E88))</f>
        <v/>
      </c>
      <c r="G88" s="13" t="inlineStr"/>
    </row>
    <row r="89">
      <c r="A89" s="14" t="inlineStr">
        <is>
          <t>2026-02</t>
        </is>
      </c>
      <c r="B89" s="14" t="inlineStr">
        <is>
          <t>Berkeley Heights</t>
        </is>
      </c>
      <c r="C89" s="14" t="n">
        <v>1</v>
      </c>
      <c r="D89" s="14" t="n">
        <v>0</v>
      </c>
      <c r="E89" s="14" t="n">
        <v>1</v>
      </c>
      <c r="F89" s="6">
        <f>IF(D89+E89=0,"",E89/(D89+E89))</f>
        <v/>
      </c>
      <c r="G89" s="14" t="inlineStr"/>
    </row>
    <row r="90">
      <c r="A90" s="13" t="inlineStr">
        <is>
          <t>2026-02</t>
        </is>
      </c>
      <c r="B90" s="13" t="inlineStr">
        <is>
          <t>Clifton</t>
        </is>
      </c>
      <c r="C90" s="13" t="n">
        <v>1</v>
      </c>
      <c r="D90" s="13" t="n">
        <v>0</v>
      </c>
      <c r="E90" s="13" t="n">
        <v>1</v>
      </c>
      <c r="F90" s="11">
        <f>IF(D90+E90=0,"",E90/(D90+E90))</f>
        <v/>
      </c>
      <c r="G90" s="13" t="inlineStr"/>
    </row>
    <row r="91">
      <c r="A91" s="14" t="inlineStr">
        <is>
          <t>2026-02</t>
        </is>
      </c>
      <c r="B91" s="14" t="inlineStr">
        <is>
          <t>Glen Ridge</t>
        </is>
      </c>
      <c r="C91" s="14" t="n">
        <v>2</v>
      </c>
      <c r="D91" s="14" t="n">
        <v>1</v>
      </c>
      <c r="E91" s="14" t="n">
        <v>1</v>
      </c>
      <c r="F91" s="6">
        <f>IF(D91+E91=0,"",E91/(D91+E91))</f>
        <v/>
      </c>
      <c r="G91" s="14" t="inlineStr"/>
    </row>
    <row r="92">
      <c r="A92" s="13" t="inlineStr">
        <is>
          <t>2026-02</t>
        </is>
      </c>
      <c r="B92" s="13" t="inlineStr">
        <is>
          <t>Kearny</t>
        </is>
      </c>
      <c r="C92" s="13" t="n">
        <v>1</v>
      </c>
      <c r="D92" s="13" t="n">
        <v>0</v>
      </c>
      <c r="E92" s="13" t="n">
        <v>1</v>
      </c>
      <c r="F92" s="11">
        <f>IF(D92+E92=0,"",E92/(D92+E92))</f>
        <v/>
      </c>
      <c r="G92" s="13" t="inlineStr"/>
    </row>
    <row r="93">
      <c r="A93" s="14" t="inlineStr">
        <is>
          <t>2026-02</t>
        </is>
      </c>
      <c r="B93" s="14" t="inlineStr">
        <is>
          <t>Livingston</t>
        </is>
      </c>
      <c r="C93" s="14" t="n">
        <v>1</v>
      </c>
      <c r="D93" s="14" t="n">
        <v>0</v>
      </c>
      <c r="E93" s="14" t="n">
        <v>1</v>
      </c>
      <c r="F93" s="6">
        <f>IF(D93+E93=0,"",E93/(D93+E93))</f>
        <v/>
      </c>
      <c r="G93" s="14" t="inlineStr"/>
    </row>
    <row r="94">
      <c r="A94" s="13" t="inlineStr">
        <is>
          <t>2026-02</t>
        </is>
      </c>
      <c r="B94" s="13" t="inlineStr">
        <is>
          <t>Montclair</t>
        </is>
      </c>
      <c r="C94" s="13" t="n">
        <v>2</v>
      </c>
      <c r="D94" s="13" t="n">
        <v>1</v>
      </c>
      <c r="E94" s="13" t="n">
        <v>1</v>
      </c>
      <c r="F94" s="11">
        <f>IF(D94+E94=0,"",E94/(D94+E94))</f>
        <v/>
      </c>
      <c r="G94" s="13" t="inlineStr"/>
    </row>
    <row r="95">
      <c r="A95" s="14" t="inlineStr">
        <is>
          <t>2026-02</t>
        </is>
      </c>
      <c r="B95" s="14" t="inlineStr">
        <is>
          <t>Nutley</t>
        </is>
      </c>
      <c r="C95" s="14" t="n">
        <v>1</v>
      </c>
      <c r="D95" s="14" t="n">
        <v>0</v>
      </c>
      <c r="E95" s="14" t="n">
        <v>1</v>
      </c>
      <c r="F95" s="6">
        <f>IF(D95+E95=0,"",E95/(D95+E95))</f>
        <v/>
      </c>
      <c r="G95" s="14" t="inlineStr"/>
    </row>
    <row r="96">
      <c r="A96" s="13" t="inlineStr">
        <is>
          <t>2026-02</t>
        </is>
      </c>
      <c r="B96" s="13" t="inlineStr">
        <is>
          <t>Short Hills</t>
        </is>
      </c>
      <c r="C96" s="13" t="n">
        <v>1</v>
      </c>
      <c r="D96" s="13" t="n">
        <v>0</v>
      </c>
      <c r="E96" s="13" t="n">
        <v>1</v>
      </c>
      <c r="F96" s="11">
        <f>IF(D96+E96=0,"",E96/(D96+E96))</f>
        <v/>
      </c>
      <c r="G96" s="13" t="inlineStr"/>
    </row>
    <row r="97">
      <c r="A97" s="14" t="inlineStr">
        <is>
          <t>2026-02</t>
        </is>
      </c>
      <c r="B97" s="14" t="inlineStr">
        <is>
          <t>West Orange</t>
        </is>
      </c>
      <c r="C97" s="14" t="n">
        <v>3</v>
      </c>
      <c r="D97" s="14" t="n">
        <v>2</v>
      </c>
      <c r="E97" s="14" t="n">
        <v>1</v>
      </c>
      <c r="F97" s="6">
        <f>IF(D97+E97=0,"",E97/(D97+E97))</f>
        <v/>
      </c>
      <c r="G97" s="14" t="inlineStr"/>
    </row>
    <row r="98">
      <c r="A98" s="13" t="inlineStr">
        <is>
          <t>2026-02</t>
        </is>
      </c>
      <c r="B98" s="13" t="inlineStr">
        <is>
          <t>Belleville</t>
        </is>
      </c>
      <c r="C98" s="13" t="n">
        <v>1</v>
      </c>
      <c r="D98" s="13" t="n">
        <v>1</v>
      </c>
      <c r="E98" s="13" t="n">
        <v>0</v>
      </c>
      <c r="F98" s="11">
        <f>IF(D98+E98=0,"",E98/(D98+E98))</f>
        <v/>
      </c>
      <c r="G98" s="13" t="inlineStr"/>
    </row>
    <row r="99">
      <c r="A99" s="14" t="inlineStr">
        <is>
          <t>2026-02</t>
        </is>
      </c>
      <c r="B99" s="14" t="inlineStr">
        <is>
          <t>Caldwell</t>
        </is>
      </c>
      <c r="C99" s="14" t="n">
        <v>2</v>
      </c>
      <c r="D99" s="14" t="n">
        <v>2</v>
      </c>
      <c r="E99" s="14" t="n">
        <v>0</v>
      </c>
      <c r="F99" s="6">
        <f>IF(D99+E99=0,"",E99/(D99+E99))</f>
        <v/>
      </c>
      <c r="G99" s="14" t="inlineStr"/>
    </row>
    <row r="100">
      <c r="A100" s="13" t="inlineStr">
        <is>
          <t>2026-02</t>
        </is>
      </c>
      <c r="B100" s="13" t="inlineStr">
        <is>
          <t>Cedar Grove</t>
        </is>
      </c>
      <c r="C100" s="13" t="n">
        <v>2</v>
      </c>
      <c r="D100" s="13" t="n">
        <v>2</v>
      </c>
      <c r="E100" s="13" t="n">
        <v>0</v>
      </c>
      <c r="F100" s="11">
        <f>IF(D100+E100=0,"",E100/(D100+E100))</f>
        <v/>
      </c>
      <c r="G100" s="13" t="inlineStr"/>
    </row>
    <row r="101">
      <c r="A101" s="14" t="inlineStr">
        <is>
          <t>2026-02</t>
        </is>
      </c>
      <c r="B101" s="14" t="inlineStr">
        <is>
          <t>Essex Fells</t>
        </is>
      </c>
      <c r="C101" s="14" t="n">
        <v>1</v>
      </c>
      <c r="D101" s="14" t="n">
        <v>1</v>
      </c>
      <c r="E101" s="14" t="n">
        <v>0</v>
      </c>
      <c r="F101" s="6">
        <f>IF(D101+E101=0,"",E101/(D101+E101))</f>
        <v/>
      </c>
      <c r="G101" s="14" t="inlineStr"/>
    </row>
    <row r="102">
      <c r="A102" s="13" t="inlineStr">
        <is>
          <t>2026-02</t>
        </is>
      </c>
      <c r="B102" s="13" t="inlineStr">
        <is>
          <t>Kinnelon</t>
        </is>
      </c>
      <c r="C102" s="13" t="n">
        <v>1</v>
      </c>
      <c r="D102" s="13" t="n">
        <v>1</v>
      </c>
      <c r="E102" s="13" t="n">
        <v>0</v>
      </c>
      <c r="F102" s="11">
        <f>IF(D102+E102=0,"",E102/(D102+E102))</f>
        <v/>
      </c>
      <c r="G102" s="13" t="inlineStr"/>
    </row>
    <row r="103">
      <c r="A103" s="14" t="inlineStr">
        <is>
          <t>2026-02</t>
        </is>
      </c>
      <c r="B103" s="14" t="inlineStr">
        <is>
          <t>Maplewood</t>
        </is>
      </c>
      <c r="C103" s="14" t="n">
        <v>3</v>
      </c>
      <c r="D103" s="14" t="n">
        <v>3</v>
      </c>
      <c r="E103" s="14" t="n">
        <v>0</v>
      </c>
      <c r="F103" s="6">
        <f>IF(D103+E103=0,"",E103/(D103+E103))</f>
        <v/>
      </c>
      <c r="G103" s="14" t="inlineStr"/>
    </row>
    <row r="104">
      <c r="A104" s="13" t="inlineStr">
        <is>
          <t>2026-02</t>
        </is>
      </c>
      <c r="B104" s="13" t="inlineStr">
        <is>
          <t>Springfield</t>
        </is>
      </c>
      <c r="C104" s="13" t="n">
        <v>1</v>
      </c>
      <c r="D104" s="13" t="n">
        <v>1</v>
      </c>
      <c r="E104" s="13" t="n">
        <v>0</v>
      </c>
      <c r="F104" s="11">
        <f>IF(D104+E104=0,"",E104/(D104+E104))</f>
        <v/>
      </c>
      <c r="G104" s="13" t="inlineStr"/>
    </row>
    <row r="105">
      <c r="A105" s="14" t="inlineStr">
        <is>
          <t>2026-02</t>
        </is>
      </c>
      <c r="B105" s="14" t="inlineStr">
        <is>
          <t>Verona</t>
        </is>
      </c>
      <c r="C105" s="14" t="n">
        <v>1</v>
      </c>
      <c r="D105" s="14" t="n">
        <v>1</v>
      </c>
      <c r="E105" s="14" t="n">
        <v>0</v>
      </c>
      <c r="F105" s="6">
        <f>IF(D105+E105=0,"",E105/(D105+E105))</f>
        <v/>
      </c>
      <c r="G105" s="14" t="inlineStr"/>
    </row>
    <row r="106">
      <c r="A106" s="13" t="inlineStr">
        <is>
          <t>2026-03</t>
        </is>
      </c>
      <c r="B106" s="13" t="inlineStr">
        <is>
          <t>Cedar Grove</t>
        </is>
      </c>
      <c r="C106" s="13" t="n">
        <v>3</v>
      </c>
      <c r="D106" s="13" t="n">
        <v>0</v>
      </c>
      <c r="E106" s="13" t="n">
        <v>3</v>
      </c>
      <c r="F106" s="11">
        <f>IF(D106+E106=0,"",E106/(D106+E106))</f>
        <v/>
      </c>
      <c r="G106" s="13" t="inlineStr"/>
    </row>
    <row r="107">
      <c r="A107" s="14" t="inlineStr">
        <is>
          <t>2026-03</t>
        </is>
      </c>
      <c r="B107" s="14" t="inlineStr">
        <is>
          <t>Clifton</t>
        </is>
      </c>
      <c r="C107" s="14" t="n">
        <v>3</v>
      </c>
      <c r="D107" s="14" t="n">
        <v>1</v>
      </c>
      <c r="E107" s="14" t="n">
        <v>2</v>
      </c>
      <c r="F107" s="6">
        <f>IF(D107+E107=0,"",E107/(D107+E107))</f>
        <v/>
      </c>
      <c r="G107" s="14" t="inlineStr"/>
    </row>
    <row r="108">
      <c r="A108" s="13" t="inlineStr">
        <is>
          <t>2026-03</t>
        </is>
      </c>
      <c r="B108" s="13" t="inlineStr">
        <is>
          <t>Montclair</t>
        </is>
      </c>
      <c r="C108" s="13" t="n">
        <v>4</v>
      </c>
      <c r="D108" s="13" t="n">
        <v>2</v>
      </c>
      <c r="E108" s="13" t="n">
        <v>2</v>
      </c>
      <c r="F108" s="11">
        <f>IF(D108+E108=0,"",E108/(D108+E108))</f>
        <v/>
      </c>
      <c r="G108" s="13" t="inlineStr"/>
    </row>
    <row r="109">
      <c r="A109" s="14" t="inlineStr">
        <is>
          <t>2026-03</t>
        </is>
      </c>
      <c r="B109" s="14" t="inlineStr">
        <is>
          <t>Nutley</t>
        </is>
      </c>
      <c r="C109" s="14" t="n">
        <v>3</v>
      </c>
      <c r="D109" s="14" t="n">
        <v>1</v>
      </c>
      <c r="E109" s="14" t="n">
        <v>2</v>
      </c>
      <c r="F109" s="6">
        <f>IF(D109+E109=0,"",E109/(D109+E109))</f>
        <v/>
      </c>
      <c r="G109" s="14" t="inlineStr"/>
    </row>
    <row r="110">
      <c r="A110" s="13" t="inlineStr">
        <is>
          <t>2026-03</t>
        </is>
      </c>
      <c r="B110" s="13" t="inlineStr">
        <is>
          <t>South Orange</t>
        </is>
      </c>
      <c r="C110" s="13" t="n">
        <v>3</v>
      </c>
      <c r="D110" s="13" t="n">
        <v>1</v>
      </c>
      <c r="E110" s="13" t="n">
        <v>2</v>
      </c>
      <c r="F110" s="11">
        <f>IF(D110+E110=0,"",E110/(D110+E110))</f>
        <v/>
      </c>
      <c r="G110" s="13" t="inlineStr"/>
    </row>
    <row r="111">
      <c r="A111" s="14" t="inlineStr">
        <is>
          <t>2026-03</t>
        </is>
      </c>
      <c r="B111" s="14" t="inlineStr">
        <is>
          <t>West Orange</t>
        </is>
      </c>
      <c r="C111" s="14" t="n">
        <v>4</v>
      </c>
      <c r="D111" s="14" t="n">
        <v>2</v>
      </c>
      <c r="E111" s="14" t="n">
        <v>2</v>
      </c>
      <c r="F111" s="6">
        <f>IF(D111+E111=0,"",E111/(D111+E111))</f>
        <v/>
      </c>
      <c r="G111" s="14" t="inlineStr"/>
    </row>
    <row r="112">
      <c r="A112" s="13" t="inlineStr">
        <is>
          <t>2026-03</t>
        </is>
      </c>
      <c r="B112" s="13" t="inlineStr">
        <is>
          <t>(zip in city field)</t>
        </is>
      </c>
      <c r="C112" s="13" t="n">
        <v>1</v>
      </c>
      <c r="D112" s="13" t="n">
        <v>0</v>
      </c>
      <c r="E112" s="13" t="n">
        <v>1</v>
      </c>
      <c r="F112" s="11">
        <f>IF(D112+E112=0,"",E112/(D112+E112))</f>
        <v/>
      </c>
      <c r="G112" s="13" t="inlineStr"/>
    </row>
    <row r="113">
      <c r="A113" s="14" t="inlineStr">
        <is>
          <t>2026-03</t>
        </is>
      </c>
      <c r="B113" s="14" t="inlineStr">
        <is>
          <t>Bloomfield</t>
        </is>
      </c>
      <c r="C113" s="14" t="n">
        <v>3</v>
      </c>
      <c r="D113" s="14" t="n">
        <v>2</v>
      </c>
      <c r="E113" s="14" t="n">
        <v>1</v>
      </c>
      <c r="F113" s="6">
        <f>IF(D113+E113=0,"",E113/(D113+E113))</f>
        <v/>
      </c>
      <c r="G113" s="14" t="inlineStr"/>
    </row>
    <row r="114">
      <c r="A114" s="13" t="inlineStr">
        <is>
          <t>2026-03</t>
        </is>
      </c>
      <c r="B114" s="13" t="inlineStr">
        <is>
          <t>Caldwell</t>
        </is>
      </c>
      <c r="C114" s="13" t="n">
        <v>1</v>
      </c>
      <c r="D114" s="13" t="n">
        <v>0</v>
      </c>
      <c r="E114" s="13" t="n">
        <v>1</v>
      </c>
      <c r="F114" s="11">
        <f>IF(D114+E114=0,"",E114/(D114+E114))</f>
        <v/>
      </c>
      <c r="G114" s="13" t="inlineStr"/>
    </row>
    <row r="115">
      <c r="A115" s="14" t="inlineStr">
        <is>
          <t>2026-03</t>
        </is>
      </c>
      <c r="B115" s="14" t="inlineStr">
        <is>
          <t>Chatham</t>
        </is>
      </c>
      <c r="C115" s="14" t="n">
        <v>1</v>
      </c>
      <c r="D115" s="14" t="n">
        <v>0</v>
      </c>
      <c r="E115" s="14" t="n">
        <v>1</v>
      </c>
      <c r="F115" s="6">
        <f>IF(D115+E115=0,"",E115/(D115+E115))</f>
        <v/>
      </c>
      <c r="G115" s="14" t="inlineStr"/>
    </row>
    <row r="116">
      <c r="A116" s="13" t="inlineStr">
        <is>
          <t>2026-03</t>
        </is>
      </c>
      <c r="B116" s="13" t="inlineStr">
        <is>
          <t>Mountain Lakes</t>
        </is>
      </c>
      <c r="C116" s="13" t="n">
        <v>1</v>
      </c>
      <c r="D116" s="13" t="n">
        <v>0</v>
      </c>
      <c r="E116" s="13" t="n">
        <v>1</v>
      </c>
      <c r="F116" s="11">
        <f>IF(D116+E116=0,"",E116/(D116+E116))</f>
        <v/>
      </c>
      <c r="G116" s="13" t="inlineStr"/>
    </row>
    <row r="117">
      <c r="A117" s="14" t="inlineStr">
        <is>
          <t>2026-03</t>
        </is>
      </c>
      <c r="B117" s="14" t="inlineStr">
        <is>
          <t>Wood Ridge</t>
        </is>
      </c>
      <c r="C117" s="14" t="n">
        <v>1</v>
      </c>
      <c r="D117" s="14" t="n">
        <v>0</v>
      </c>
      <c r="E117" s="14" t="n">
        <v>1</v>
      </c>
      <c r="F117" s="6">
        <f>IF(D117+E117=0,"",E117/(D117+E117))</f>
        <v/>
      </c>
      <c r="G117" s="14" t="inlineStr"/>
    </row>
    <row r="118">
      <c r="A118" s="13" t="inlineStr">
        <is>
          <t>2026-03</t>
        </is>
      </c>
      <c r="B118" s="13" t="inlineStr">
        <is>
          <t>35 Spruce Ct. Clifton</t>
        </is>
      </c>
      <c r="C118" s="13" t="n">
        <v>1</v>
      </c>
      <c r="D118" s="13" t="n">
        <v>1</v>
      </c>
      <c r="E118" s="13" t="n">
        <v>0</v>
      </c>
      <c r="F118" s="11">
        <f>IF(D118+E118=0,"",E118/(D118+E118))</f>
        <v/>
      </c>
      <c r="G118" s="13" t="inlineStr"/>
    </row>
    <row r="119">
      <c r="A119" s="14" t="inlineStr">
        <is>
          <t>2026-03</t>
        </is>
      </c>
      <c r="B119" s="14" t="inlineStr">
        <is>
          <t>Glen Ridge</t>
        </is>
      </c>
      <c r="C119" s="14" t="n">
        <v>2</v>
      </c>
      <c r="D119" s="14" t="n">
        <v>2</v>
      </c>
      <c r="E119" s="14" t="n">
        <v>0</v>
      </c>
      <c r="F119" s="6">
        <f>IF(D119+E119=0,"",E119/(D119+E119))</f>
        <v/>
      </c>
      <c r="G119" s="14" t="inlineStr"/>
    </row>
    <row r="120">
      <c r="A120" s="13" t="inlineStr">
        <is>
          <t>2026-03</t>
        </is>
      </c>
      <c r="B120" s="13" t="inlineStr">
        <is>
          <t>Livingston</t>
        </is>
      </c>
      <c r="C120" s="13" t="n">
        <v>1</v>
      </c>
      <c r="D120" s="13" t="n">
        <v>1</v>
      </c>
      <c r="E120" s="13" t="n">
        <v>0</v>
      </c>
      <c r="F120" s="11">
        <f>IF(D120+E120=0,"",E120/(D120+E120))</f>
        <v/>
      </c>
      <c r="G120" s="13" t="inlineStr"/>
    </row>
    <row r="121">
      <c r="A121" s="14" t="inlineStr">
        <is>
          <t>2026-03</t>
        </is>
      </c>
      <c r="B121" s="14" t="inlineStr">
        <is>
          <t>Summit</t>
        </is>
      </c>
      <c r="C121" s="14" t="n">
        <v>1</v>
      </c>
      <c r="D121" s="14" t="n">
        <v>1</v>
      </c>
      <c r="E121" s="14" t="n">
        <v>0</v>
      </c>
      <c r="F121" s="6">
        <f>IF(D121+E121=0,"",E121/(D121+E121))</f>
        <v/>
      </c>
      <c r="G121" s="14" t="inlineStr"/>
    </row>
    <row r="122">
      <c r="A122" s="13" t="inlineStr">
        <is>
          <t>2026-04</t>
        </is>
      </c>
      <c r="B122" s="13" t="inlineStr">
        <is>
          <t>Montclair</t>
        </is>
      </c>
      <c r="C122" s="13" t="n">
        <v>6</v>
      </c>
      <c r="D122" s="13" t="n">
        <v>1</v>
      </c>
      <c r="E122" s="13" t="n">
        <v>5</v>
      </c>
      <c r="F122" s="11">
        <f>IF(D122+E122=0,"",E122/(D122+E122))</f>
        <v/>
      </c>
      <c r="G122" s="13" t="inlineStr"/>
    </row>
    <row r="123">
      <c r="A123" s="14" t="inlineStr">
        <is>
          <t>2026-04</t>
        </is>
      </c>
      <c r="B123" s="14" t="inlineStr">
        <is>
          <t>East Orange</t>
        </is>
      </c>
      <c r="C123" s="14" t="n">
        <v>2</v>
      </c>
      <c r="D123" s="14" t="n">
        <v>0</v>
      </c>
      <c r="E123" s="14" t="n">
        <v>2</v>
      </c>
      <c r="F123" s="6">
        <f>IF(D123+E123=0,"",E123/(D123+E123))</f>
        <v/>
      </c>
      <c r="G123" s="14" t="inlineStr"/>
    </row>
    <row r="124">
      <c r="A124" s="13" t="inlineStr">
        <is>
          <t>2026-04</t>
        </is>
      </c>
      <c r="B124" s="13" t="inlineStr">
        <is>
          <t>Randolph</t>
        </is>
      </c>
      <c r="C124" s="13" t="n">
        <v>2</v>
      </c>
      <c r="D124" s="13" t="n">
        <v>0</v>
      </c>
      <c r="E124" s="13" t="n">
        <v>2</v>
      </c>
      <c r="F124" s="11">
        <f>IF(D124+E124=0,"",E124/(D124+E124))</f>
        <v/>
      </c>
      <c r="G124" s="13" t="inlineStr"/>
    </row>
    <row r="125">
      <c r="A125" s="14" t="inlineStr">
        <is>
          <t>2026-04</t>
        </is>
      </c>
      <c r="B125" s="14" t="inlineStr">
        <is>
          <t>Summit</t>
        </is>
      </c>
      <c r="C125" s="14" t="n">
        <v>2</v>
      </c>
      <c r="D125" s="14" t="n">
        <v>0</v>
      </c>
      <c r="E125" s="14" t="n">
        <v>2</v>
      </c>
      <c r="F125" s="6">
        <f>IF(D125+E125=0,"",E125/(D125+E125))</f>
        <v/>
      </c>
      <c r="G125" s="14" t="inlineStr"/>
    </row>
    <row r="126">
      <c r="A126" s="13" t="inlineStr">
        <is>
          <t>2026-04</t>
        </is>
      </c>
      <c r="B126" s="13" t="inlineStr">
        <is>
          <t>West Orange</t>
        </is>
      </c>
      <c r="C126" s="13" t="n">
        <v>3</v>
      </c>
      <c r="D126" s="13" t="n">
        <v>1</v>
      </c>
      <c r="E126" s="13" t="n">
        <v>2</v>
      </c>
      <c r="F126" s="11">
        <f>IF(D126+E126=0,"",E126/(D126+E126))</f>
        <v/>
      </c>
      <c r="G126" s="13" t="inlineStr"/>
    </row>
    <row r="127">
      <c r="A127" s="14" t="inlineStr">
        <is>
          <t>2026-04</t>
        </is>
      </c>
      <c r="B127" s="14" t="inlineStr">
        <is>
          <t>Bloomfield</t>
        </is>
      </c>
      <c r="C127" s="14" t="n">
        <v>2</v>
      </c>
      <c r="D127" s="14" t="n">
        <v>1</v>
      </c>
      <c r="E127" s="14" t="n">
        <v>1</v>
      </c>
      <c r="F127" s="6">
        <f>IF(D127+E127=0,"",E127/(D127+E127))</f>
        <v/>
      </c>
      <c r="G127" s="14" t="inlineStr"/>
    </row>
    <row r="128">
      <c r="A128" s="13" t="inlineStr">
        <is>
          <t>2026-04</t>
        </is>
      </c>
      <c r="B128" s="13" t="inlineStr">
        <is>
          <t>Cedar Grove</t>
        </is>
      </c>
      <c r="C128" s="13" t="n">
        <v>1</v>
      </c>
      <c r="D128" s="13" t="n">
        <v>0</v>
      </c>
      <c r="E128" s="13" t="n">
        <v>1</v>
      </c>
      <c r="F128" s="11">
        <f>IF(D128+E128=0,"",E128/(D128+E128))</f>
        <v/>
      </c>
      <c r="G128" s="13" t="inlineStr"/>
    </row>
    <row r="129">
      <c r="A129" s="14" t="inlineStr">
        <is>
          <t>2026-04</t>
        </is>
      </c>
      <c r="B129" s="14" t="inlineStr">
        <is>
          <t>East Rutherford</t>
        </is>
      </c>
      <c r="C129" s="14" t="n">
        <v>1</v>
      </c>
      <c r="D129" s="14" t="n">
        <v>0</v>
      </c>
      <c r="E129" s="14" t="n">
        <v>1</v>
      </c>
      <c r="F129" s="6">
        <f>IF(D129+E129=0,"",E129/(D129+E129))</f>
        <v/>
      </c>
      <c r="G129" s="14" t="inlineStr"/>
    </row>
    <row r="130">
      <c r="A130" s="13" t="inlineStr">
        <is>
          <t>2026-04</t>
        </is>
      </c>
      <c r="B130" s="13" t="inlineStr">
        <is>
          <t>Edison</t>
        </is>
      </c>
      <c r="C130" s="13" t="n">
        <v>1</v>
      </c>
      <c r="D130" s="13" t="n">
        <v>0</v>
      </c>
      <c r="E130" s="13" t="n">
        <v>1</v>
      </c>
      <c r="F130" s="11">
        <f>IF(D130+E130=0,"",E130/(D130+E130))</f>
        <v/>
      </c>
      <c r="G130" s="13" t="inlineStr"/>
    </row>
    <row r="131">
      <c r="A131" s="14" t="inlineStr">
        <is>
          <t>2026-04</t>
        </is>
      </c>
      <c r="B131" s="14" t="inlineStr">
        <is>
          <t>Florham Park</t>
        </is>
      </c>
      <c r="C131" s="14" t="n">
        <v>1</v>
      </c>
      <c r="D131" s="14" t="n">
        <v>0</v>
      </c>
      <c r="E131" s="14" t="n">
        <v>1</v>
      </c>
      <c r="F131" s="6">
        <f>IF(D131+E131=0,"",E131/(D131+E131))</f>
        <v/>
      </c>
      <c r="G131" s="14" t="inlineStr"/>
    </row>
    <row r="132">
      <c r="A132" s="13" t="inlineStr">
        <is>
          <t>2026-04</t>
        </is>
      </c>
      <c r="B132" s="13" t="inlineStr">
        <is>
          <t>Montville</t>
        </is>
      </c>
      <c r="C132" s="13" t="n">
        <v>1</v>
      </c>
      <c r="D132" s="13" t="n">
        <v>0</v>
      </c>
      <c r="E132" s="13" t="n">
        <v>1</v>
      </c>
      <c r="F132" s="11">
        <f>IF(D132+E132=0,"",E132/(D132+E132))</f>
        <v/>
      </c>
      <c r="G132" s="13" t="inlineStr"/>
    </row>
    <row r="133">
      <c r="A133" s="14" t="inlineStr">
        <is>
          <t>2026-04</t>
        </is>
      </c>
      <c r="B133" s="14" t="inlineStr">
        <is>
          <t>New York</t>
        </is>
      </c>
      <c r="C133" s="14" t="n">
        <v>1</v>
      </c>
      <c r="D133" s="14" t="n">
        <v>0</v>
      </c>
      <c r="E133" s="14" t="n">
        <v>1</v>
      </c>
      <c r="F133" s="6">
        <f>IF(D133+E133=0,"",E133/(D133+E133))</f>
        <v/>
      </c>
      <c r="G133" s="14" t="inlineStr"/>
    </row>
    <row r="134">
      <c r="A134" s="13" t="inlineStr">
        <is>
          <t>2026-04</t>
        </is>
      </c>
      <c r="B134" s="13" t="inlineStr">
        <is>
          <t>South Orange</t>
        </is>
      </c>
      <c r="C134" s="13" t="n">
        <v>4</v>
      </c>
      <c r="D134" s="13" t="n">
        <v>3</v>
      </c>
      <c r="E134" s="13" t="n">
        <v>1</v>
      </c>
      <c r="F134" s="11">
        <f>IF(D134+E134=0,"",E134/(D134+E134))</f>
        <v/>
      </c>
      <c r="G134" s="13" t="inlineStr"/>
    </row>
    <row r="135">
      <c r="A135" s="14" t="inlineStr">
        <is>
          <t>2026-04</t>
        </is>
      </c>
      <c r="B135" s="14" t="inlineStr">
        <is>
          <t>Denville</t>
        </is>
      </c>
      <c r="C135" s="14" t="n">
        <v>1</v>
      </c>
      <c r="D135" s="14" t="n">
        <v>1</v>
      </c>
      <c r="E135" s="14" t="n">
        <v>0</v>
      </c>
      <c r="F135" s="6">
        <f>IF(D135+E135=0,"",E135/(D135+E135))</f>
        <v/>
      </c>
      <c r="G135" s="14" t="inlineStr"/>
    </row>
    <row r="136">
      <c r="A136" s="13" t="inlineStr">
        <is>
          <t>2026-04</t>
        </is>
      </c>
      <c r="B136" s="13" t="inlineStr">
        <is>
          <t>Nutley</t>
        </is>
      </c>
      <c r="C136" s="13" t="n">
        <v>1</v>
      </c>
      <c r="D136" s="13" t="n">
        <v>1</v>
      </c>
      <c r="E136" s="13" t="n">
        <v>0</v>
      </c>
      <c r="F136" s="11">
        <f>IF(D136+E136=0,"",E136/(D136+E136))</f>
        <v/>
      </c>
      <c r="G136" s="13" t="inlineStr"/>
    </row>
    <row r="137">
      <c r="A137" s="14" t="inlineStr">
        <is>
          <t>2026-04</t>
        </is>
      </c>
      <c r="B137" s="14" t="inlineStr">
        <is>
          <t>West Caldwell</t>
        </is>
      </c>
      <c r="C137" s="14" t="n">
        <v>1</v>
      </c>
      <c r="D137" s="14" t="n">
        <v>1</v>
      </c>
      <c r="E137" s="14" t="n">
        <v>0</v>
      </c>
      <c r="F137" s="6">
        <f>IF(D137+E137=0,"",E137/(D137+E137))</f>
        <v/>
      </c>
      <c r="G137" s="14" t="inlineStr"/>
    </row>
    <row r="138">
      <c r="A138" s="13" t="inlineStr">
        <is>
          <t>2026-05</t>
        </is>
      </c>
      <c r="B138" s="13" t="inlineStr">
        <is>
          <t>Clifton</t>
        </is>
      </c>
      <c r="C138" s="13" t="n">
        <v>4</v>
      </c>
      <c r="D138" s="13" t="n">
        <v>1</v>
      </c>
      <c r="E138" s="13" t="n">
        <v>3</v>
      </c>
      <c r="F138" s="11">
        <f>IF(D138+E138=0,"",E138/(D138+E138))</f>
        <v/>
      </c>
      <c r="G138" s="13" t="inlineStr"/>
    </row>
    <row r="139">
      <c r="A139" s="14" t="inlineStr">
        <is>
          <t>2026-05</t>
        </is>
      </c>
      <c r="B139" s="14" t="inlineStr">
        <is>
          <t>Randolph</t>
        </is>
      </c>
      <c r="C139" s="14" t="n">
        <v>3</v>
      </c>
      <c r="D139" s="14" t="n">
        <v>0</v>
      </c>
      <c r="E139" s="14" t="n">
        <v>3</v>
      </c>
      <c r="F139" s="6">
        <f>IF(D139+E139=0,"",E139/(D139+E139))</f>
        <v/>
      </c>
      <c r="G139" s="14" t="inlineStr"/>
    </row>
    <row r="140">
      <c r="A140" s="13" t="inlineStr">
        <is>
          <t>2026-05</t>
        </is>
      </c>
      <c r="B140" s="13" t="inlineStr">
        <is>
          <t>Summit</t>
        </is>
      </c>
      <c r="C140" s="13" t="n">
        <v>4</v>
      </c>
      <c r="D140" s="13" t="n">
        <v>1</v>
      </c>
      <c r="E140" s="13" t="n">
        <v>3</v>
      </c>
      <c r="F140" s="11">
        <f>IF(D140+E140=0,"",E140/(D140+E140))</f>
        <v/>
      </c>
      <c r="G140" s="13" t="inlineStr"/>
    </row>
    <row r="141">
      <c r="A141" s="14" t="inlineStr">
        <is>
          <t>2026-05</t>
        </is>
      </c>
      <c r="B141" s="14" t="inlineStr">
        <is>
          <t>Maplewood</t>
        </is>
      </c>
      <c r="C141" s="14" t="n">
        <v>4</v>
      </c>
      <c r="D141" s="14" t="n">
        <v>2</v>
      </c>
      <c r="E141" s="14" t="n">
        <v>2</v>
      </c>
      <c r="F141" s="6">
        <f>IF(D141+E141=0,"",E141/(D141+E141))</f>
        <v/>
      </c>
      <c r="G141" s="14" t="inlineStr"/>
    </row>
    <row r="142">
      <c r="A142" s="13" t="inlineStr">
        <is>
          <t>2026-05</t>
        </is>
      </c>
      <c r="B142" s="13" t="inlineStr">
        <is>
          <t>Roseland</t>
        </is>
      </c>
      <c r="C142" s="13" t="n">
        <v>3</v>
      </c>
      <c r="D142" s="13" t="n">
        <v>1</v>
      </c>
      <c r="E142" s="13" t="n">
        <v>2</v>
      </c>
      <c r="F142" s="11">
        <f>IF(D142+E142=0,"",E142/(D142+E142))</f>
        <v/>
      </c>
      <c r="G142" s="13" t="inlineStr"/>
    </row>
    <row r="143">
      <c r="A143" s="14" t="inlineStr">
        <is>
          <t>2026-05</t>
        </is>
      </c>
      <c r="B143" s="14" t="inlineStr">
        <is>
          <t>South Orange</t>
        </is>
      </c>
      <c r="C143" s="14" t="n">
        <v>2</v>
      </c>
      <c r="D143" s="14" t="n">
        <v>0</v>
      </c>
      <c r="E143" s="14" t="n">
        <v>2</v>
      </c>
      <c r="F143" s="6">
        <f>IF(D143+E143=0,"",E143/(D143+E143))</f>
        <v/>
      </c>
      <c r="G143" s="14" t="inlineStr"/>
    </row>
    <row r="144">
      <c r="A144" s="13" t="inlineStr">
        <is>
          <t>2026-05</t>
        </is>
      </c>
      <c r="B144" s="13" t="inlineStr">
        <is>
          <t>Glen Ridge</t>
        </is>
      </c>
      <c r="C144" s="13" t="n">
        <v>4</v>
      </c>
      <c r="D144" s="13" t="n">
        <v>3</v>
      </c>
      <c r="E144" s="13" t="n">
        <v>1</v>
      </c>
      <c r="F144" s="11">
        <f>IF(D144+E144=0,"",E144/(D144+E144))</f>
        <v/>
      </c>
      <c r="G144" s="13" t="inlineStr"/>
    </row>
    <row r="145">
      <c r="A145" s="14" t="inlineStr">
        <is>
          <t>2026-05</t>
        </is>
      </c>
      <c r="B145" s="14" t="inlineStr">
        <is>
          <t>Livingston</t>
        </is>
      </c>
      <c r="C145" s="14" t="n">
        <v>3</v>
      </c>
      <c r="D145" s="14" t="n">
        <v>2</v>
      </c>
      <c r="E145" s="14" t="n">
        <v>1</v>
      </c>
      <c r="F145" s="6">
        <f>IF(D145+E145=0,"",E145/(D145+E145))</f>
        <v/>
      </c>
      <c r="G145" s="14" t="inlineStr"/>
    </row>
    <row r="146">
      <c r="A146" s="13" t="inlineStr">
        <is>
          <t>2026-05</t>
        </is>
      </c>
      <c r="B146" s="13" t="inlineStr">
        <is>
          <t>Montclair</t>
        </is>
      </c>
      <c r="C146" s="13" t="n">
        <v>6</v>
      </c>
      <c r="D146" s="13" t="n">
        <v>5</v>
      </c>
      <c r="E146" s="13" t="n">
        <v>1</v>
      </c>
      <c r="F146" s="11">
        <f>IF(D146+E146=0,"",E146/(D146+E146))</f>
        <v/>
      </c>
      <c r="G146" s="13" t="inlineStr"/>
    </row>
    <row r="147">
      <c r="A147" s="14" t="inlineStr">
        <is>
          <t>2026-05</t>
        </is>
      </c>
      <c r="B147" s="14" t="inlineStr">
        <is>
          <t>Newark</t>
        </is>
      </c>
      <c r="C147" s="14" t="n">
        <v>1</v>
      </c>
      <c r="D147" s="14" t="n">
        <v>0</v>
      </c>
      <c r="E147" s="14" t="n">
        <v>1</v>
      </c>
      <c r="F147" s="6">
        <f>IF(D147+E147=0,"",E147/(D147+E147))</f>
        <v/>
      </c>
      <c r="G147" s="14" t="inlineStr"/>
    </row>
    <row r="148">
      <c r="A148" s="13" t="inlineStr">
        <is>
          <t>2026-05</t>
        </is>
      </c>
      <c r="B148" s="13" t="inlineStr">
        <is>
          <t>Wayne</t>
        </is>
      </c>
      <c r="C148" s="13" t="n">
        <v>1</v>
      </c>
      <c r="D148" s="13" t="n">
        <v>0</v>
      </c>
      <c r="E148" s="13" t="n">
        <v>1</v>
      </c>
      <c r="F148" s="11">
        <f>IF(D148+E148=0,"",E148/(D148+E148))</f>
        <v/>
      </c>
      <c r="G148" s="13" t="inlineStr"/>
    </row>
    <row r="149">
      <c r="A149" s="14" t="inlineStr">
        <is>
          <t>2026-05</t>
        </is>
      </c>
      <c r="B149" s="14" t="inlineStr">
        <is>
          <t>Bloomfield</t>
        </is>
      </c>
      <c r="C149" s="14" t="n">
        <v>2</v>
      </c>
      <c r="D149" s="14" t="n">
        <v>2</v>
      </c>
      <c r="E149" s="14" t="n">
        <v>0</v>
      </c>
      <c r="F149" s="6">
        <f>IF(D149+E149=0,"",E149/(D149+E149))</f>
        <v/>
      </c>
      <c r="G149" s="14" t="inlineStr"/>
    </row>
    <row r="150">
      <c r="A150" s="13" t="inlineStr">
        <is>
          <t>2026-05</t>
        </is>
      </c>
      <c r="B150" s="13" t="inlineStr">
        <is>
          <t>Caldwell</t>
        </is>
      </c>
      <c r="C150" s="13" t="n">
        <v>3</v>
      </c>
      <c r="D150" s="13" t="n">
        <v>3</v>
      </c>
      <c r="E150" s="13" t="n">
        <v>0</v>
      </c>
      <c r="F150" s="11">
        <f>IF(D150+E150=0,"",E150/(D150+E150))</f>
        <v/>
      </c>
      <c r="G150" s="13" t="inlineStr"/>
    </row>
    <row r="151">
      <c r="A151" s="14" t="inlineStr">
        <is>
          <t>2026-05</t>
        </is>
      </c>
      <c r="B151" s="14" t="inlineStr">
        <is>
          <t>Chatham Township</t>
        </is>
      </c>
      <c r="C151" s="14" t="n">
        <v>1</v>
      </c>
      <c r="D151" s="14" t="n">
        <v>1</v>
      </c>
      <c r="E151" s="14" t="n">
        <v>0</v>
      </c>
      <c r="F151" s="6">
        <f>IF(D151+E151=0,"",E151/(D151+E151))</f>
        <v/>
      </c>
      <c r="G151" s="14" t="inlineStr"/>
    </row>
    <row r="152">
      <c r="A152" s="13" t="inlineStr">
        <is>
          <t>2026-05</t>
        </is>
      </c>
      <c r="B152" s="13" t="inlineStr">
        <is>
          <t>Little Falls</t>
        </is>
      </c>
      <c r="C152" s="13" t="n">
        <v>1</v>
      </c>
      <c r="D152" s="13" t="n">
        <v>1</v>
      </c>
      <c r="E152" s="13" t="n">
        <v>0</v>
      </c>
      <c r="F152" s="11">
        <f>IF(D152+E152=0,"",E152/(D152+E152))</f>
        <v/>
      </c>
      <c r="G152" s="13" t="inlineStr"/>
    </row>
    <row r="153">
      <c r="A153" s="14" t="inlineStr">
        <is>
          <t>2026-05</t>
        </is>
      </c>
      <c r="B153" s="14" t="inlineStr">
        <is>
          <t>Nutley</t>
        </is>
      </c>
      <c r="C153" s="14" t="n">
        <v>1</v>
      </c>
      <c r="D153" s="14" t="n">
        <v>1</v>
      </c>
      <c r="E153" s="14" t="n">
        <v>0</v>
      </c>
      <c r="F153" s="6">
        <f>IF(D153+E153=0,"",E153/(D153+E153))</f>
        <v/>
      </c>
      <c r="G153" s="14" t="inlineStr"/>
    </row>
    <row r="154">
      <c r="A154" s="13" t="inlineStr">
        <is>
          <t>2026-05</t>
        </is>
      </c>
      <c r="B154" s="13" t="inlineStr">
        <is>
          <t>Paterson</t>
        </is>
      </c>
      <c r="C154" s="13" t="n">
        <v>1</v>
      </c>
      <c r="D154" s="13" t="n">
        <v>1</v>
      </c>
      <c r="E154" s="13" t="n">
        <v>0</v>
      </c>
      <c r="F154" s="11">
        <f>IF(D154+E154=0,"",E154/(D154+E154))</f>
        <v/>
      </c>
      <c r="G154" s="13" t="inlineStr"/>
    </row>
    <row r="155">
      <c r="A155" s="14" t="inlineStr">
        <is>
          <t>2026-05</t>
        </is>
      </c>
      <c r="B155" s="14" t="inlineStr">
        <is>
          <t>Vauxhall</t>
        </is>
      </c>
      <c r="C155" s="14" t="n">
        <v>1</v>
      </c>
      <c r="D155" s="14" t="n">
        <v>1</v>
      </c>
      <c r="E155" s="14" t="n">
        <v>0</v>
      </c>
      <c r="F155" s="6">
        <f>IF(D155+E155=0,"",E155/(D155+E155))</f>
        <v/>
      </c>
      <c r="G155" s="14" t="inlineStr"/>
    </row>
    <row r="156">
      <c r="A156" s="13" t="inlineStr">
        <is>
          <t>2026-05</t>
        </is>
      </c>
      <c r="B156" s="13" t="inlineStr">
        <is>
          <t>Verona</t>
        </is>
      </c>
      <c r="C156" s="13" t="n">
        <v>1</v>
      </c>
      <c r="D156" s="13" t="n">
        <v>1</v>
      </c>
      <c r="E156" s="13" t="n">
        <v>0</v>
      </c>
      <c r="F156" s="11">
        <f>IF(D156+E156=0,"",E156/(D156+E156))</f>
        <v/>
      </c>
      <c r="G156" s="13" t="inlineStr"/>
    </row>
    <row r="157">
      <c r="A157" s="14" t="inlineStr">
        <is>
          <t>2026-05</t>
        </is>
      </c>
      <c r="B157" s="14" t="inlineStr">
        <is>
          <t>West Caldwell</t>
        </is>
      </c>
      <c r="C157" s="14" t="n">
        <v>2</v>
      </c>
      <c r="D157" s="14" t="n">
        <v>2</v>
      </c>
      <c r="E157" s="14" t="n">
        <v>0</v>
      </c>
      <c r="F157" s="6">
        <f>IF(D157+E157=0,"",E157/(D157+E157))</f>
        <v/>
      </c>
      <c r="G157" s="14" t="inlineStr"/>
    </row>
    <row r="158">
      <c r="A158" s="13" t="inlineStr">
        <is>
          <t>2026-05</t>
        </is>
      </c>
      <c r="B158" s="13" t="inlineStr">
        <is>
          <t>West Orange</t>
        </is>
      </c>
      <c r="C158" s="13" t="n">
        <v>1</v>
      </c>
      <c r="D158" s="13" t="n">
        <v>1</v>
      </c>
      <c r="E158" s="13" t="n">
        <v>0</v>
      </c>
      <c r="F158" s="11">
        <f>IF(D158+E158=0,"",E158/(D158+E158))</f>
        <v/>
      </c>
      <c r="G158" s="13" t="inlineStr"/>
    </row>
    <row r="159">
      <c r="A159" s="14" t="inlineStr">
        <is>
          <t>2026-06</t>
        </is>
      </c>
      <c r="B159" s="14" t="inlineStr">
        <is>
          <t>Clifton</t>
        </is>
      </c>
      <c r="C159" s="14" t="n">
        <v>4</v>
      </c>
      <c r="D159" s="14" t="n">
        <v>2</v>
      </c>
      <c r="E159" s="14" t="n">
        <v>2</v>
      </c>
      <c r="F159" s="6">
        <f>IF(D159+E159=0,"",E159/(D159+E159))</f>
        <v/>
      </c>
      <c r="G159" s="14" t="inlineStr"/>
    </row>
    <row r="160">
      <c r="A160" s="13" t="inlineStr">
        <is>
          <t>2026-06</t>
        </is>
      </c>
      <c r="B160" s="13" t="inlineStr">
        <is>
          <t>Hillside</t>
        </is>
      </c>
      <c r="C160" s="13" t="n">
        <v>2</v>
      </c>
      <c r="D160" s="13" t="n">
        <v>0</v>
      </c>
      <c r="E160" s="13" t="n">
        <v>2</v>
      </c>
      <c r="F160" s="11">
        <f>IF(D160+E160=0,"",E160/(D160+E160))</f>
        <v/>
      </c>
      <c r="G160" s="13" t="inlineStr"/>
    </row>
    <row r="161">
      <c r="A161" s="14" t="inlineStr">
        <is>
          <t>2026-06</t>
        </is>
      </c>
      <c r="B161" s="14" t="inlineStr">
        <is>
          <t>Secaucus</t>
        </is>
      </c>
      <c r="C161" s="14" t="n">
        <v>2</v>
      </c>
      <c r="D161" s="14" t="n">
        <v>0</v>
      </c>
      <c r="E161" s="14" t="n">
        <v>2</v>
      </c>
      <c r="F161" s="6">
        <f>IF(D161+E161=0,"",E161/(D161+E161))</f>
        <v/>
      </c>
      <c r="G161" s="14" t="inlineStr">
        <is>
          <t>Yes</t>
        </is>
      </c>
    </row>
    <row r="162">
      <c r="A162" s="13" t="inlineStr">
        <is>
          <t>2026-06</t>
        </is>
      </c>
      <c r="B162" s="13" t="inlineStr">
        <is>
          <t>Bloomfield</t>
        </is>
      </c>
      <c r="C162" s="13" t="n">
        <v>4</v>
      </c>
      <c r="D162" s="13" t="n">
        <v>3</v>
      </c>
      <c r="E162" s="13" t="n">
        <v>1</v>
      </c>
      <c r="F162" s="11">
        <f>IF(D162+E162=0,"",E162/(D162+E162))</f>
        <v/>
      </c>
      <c r="G162" s="13" t="inlineStr"/>
    </row>
    <row r="163">
      <c r="A163" s="14" t="inlineStr">
        <is>
          <t>2026-06</t>
        </is>
      </c>
      <c r="B163" s="14" t="inlineStr">
        <is>
          <t>Caldwell</t>
        </is>
      </c>
      <c r="C163" s="14" t="n">
        <v>1</v>
      </c>
      <c r="D163" s="14" t="n">
        <v>0</v>
      </c>
      <c r="E163" s="14" t="n">
        <v>1</v>
      </c>
      <c r="F163" s="6">
        <f>IF(D163+E163=0,"",E163/(D163+E163))</f>
        <v/>
      </c>
      <c r="G163" s="14" t="inlineStr"/>
    </row>
    <row r="164">
      <c r="A164" s="13" t="inlineStr">
        <is>
          <t>2026-06</t>
        </is>
      </c>
      <c r="B164" s="13" t="inlineStr">
        <is>
          <t>East Orange</t>
        </is>
      </c>
      <c r="C164" s="13" t="n">
        <v>1</v>
      </c>
      <c r="D164" s="13" t="n">
        <v>0</v>
      </c>
      <c r="E164" s="13" t="n">
        <v>1</v>
      </c>
      <c r="F164" s="11">
        <f>IF(D164+E164=0,"",E164/(D164+E164))</f>
        <v/>
      </c>
      <c r="G164" s="13" t="inlineStr"/>
    </row>
    <row r="165">
      <c r="A165" s="14" t="inlineStr">
        <is>
          <t>2026-06</t>
        </is>
      </c>
      <c r="B165" s="14" t="inlineStr">
        <is>
          <t>Hamburg</t>
        </is>
      </c>
      <c r="C165" s="14" t="n">
        <v>1</v>
      </c>
      <c r="D165" s="14" t="n">
        <v>0</v>
      </c>
      <c r="E165" s="14" t="n">
        <v>1</v>
      </c>
      <c r="F165" s="6">
        <f>IF(D165+E165=0,"",E165/(D165+E165))</f>
        <v/>
      </c>
      <c r="G165" s="14" t="inlineStr"/>
    </row>
    <row r="166">
      <c r="A166" s="13" t="inlineStr">
        <is>
          <t>2026-06</t>
        </is>
      </c>
      <c r="B166" s="13" t="inlineStr">
        <is>
          <t>Hewitt</t>
        </is>
      </c>
      <c r="C166" s="13" t="n">
        <v>1</v>
      </c>
      <c r="D166" s="13" t="n">
        <v>0</v>
      </c>
      <c r="E166" s="13" t="n">
        <v>1</v>
      </c>
      <c r="F166" s="11">
        <f>IF(D166+E166=0,"",E166/(D166+E166))</f>
        <v/>
      </c>
      <c r="G166" s="13" t="inlineStr">
        <is>
          <t>Yes</t>
        </is>
      </c>
    </row>
    <row r="167">
      <c r="A167" s="14" t="inlineStr">
        <is>
          <t>2026-06</t>
        </is>
      </c>
      <c r="B167" s="14" t="inlineStr">
        <is>
          <t>Jersey City</t>
        </is>
      </c>
      <c r="C167" s="14" t="n">
        <v>1</v>
      </c>
      <c r="D167" s="14" t="n">
        <v>0</v>
      </c>
      <c r="E167" s="14" t="n">
        <v>1</v>
      </c>
      <c r="F167" s="6">
        <f>IF(D167+E167=0,"",E167/(D167+E167))</f>
        <v/>
      </c>
      <c r="G167" s="14" t="inlineStr"/>
    </row>
    <row r="168">
      <c r="A168" s="13" t="inlineStr">
        <is>
          <t>2026-06</t>
        </is>
      </c>
      <c r="B168" s="13" t="inlineStr">
        <is>
          <t>Livingston</t>
        </is>
      </c>
      <c r="C168" s="13" t="n">
        <v>1</v>
      </c>
      <c r="D168" s="13" t="n">
        <v>0</v>
      </c>
      <c r="E168" s="13" t="n">
        <v>1</v>
      </c>
      <c r="F168" s="11">
        <f>IF(D168+E168=0,"",E168/(D168+E168))</f>
        <v/>
      </c>
      <c r="G168" s="13" t="inlineStr"/>
    </row>
    <row r="169">
      <c r="A169" s="14" t="inlineStr">
        <is>
          <t>2026-06</t>
        </is>
      </c>
      <c r="B169" s="14" t="inlineStr">
        <is>
          <t>Maplewood</t>
        </is>
      </c>
      <c r="C169" s="14" t="n">
        <v>1</v>
      </c>
      <c r="D169" s="14" t="n">
        <v>0</v>
      </c>
      <c r="E169" s="14" t="n">
        <v>1</v>
      </c>
      <c r="F169" s="6">
        <f>IF(D169+E169=0,"",E169/(D169+E169))</f>
        <v/>
      </c>
      <c r="G169" s="14" t="inlineStr"/>
    </row>
    <row r="170">
      <c r="A170" s="13" t="inlineStr">
        <is>
          <t>2026-06</t>
        </is>
      </c>
      <c r="B170" s="13" t="inlineStr">
        <is>
          <t>Montclair</t>
        </is>
      </c>
      <c r="C170" s="13" t="n">
        <v>1</v>
      </c>
      <c r="D170" s="13" t="n">
        <v>0</v>
      </c>
      <c r="E170" s="13" t="n">
        <v>1</v>
      </c>
      <c r="F170" s="11">
        <f>IF(D170+E170=0,"",E170/(D170+E170))</f>
        <v/>
      </c>
      <c r="G170" s="13" t="inlineStr"/>
    </row>
    <row r="171">
      <c r="A171" s="14" t="inlineStr">
        <is>
          <t>2026-06</t>
        </is>
      </c>
      <c r="B171" s="14" t="inlineStr">
        <is>
          <t>Nanuet</t>
        </is>
      </c>
      <c r="C171" s="14" t="n">
        <v>1</v>
      </c>
      <c r="D171" s="14" t="n">
        <v>0</v>
      </c>
      <c r="E171" s="14" t="n">
        <v>1</v>
      </c>
      <c r="F171" s="6">
        <f>IF(D171+E171=0,"",E171/(D171+E171))</f>
        <v/>
      </c>
      <c r="G171" s="14" t="inlineStr">
        <is>
          <t>Yes</t>
        </is>
      </c>
    </row>
    <row r="172">
      <c r="A172" s="13" t="inlineStr">
        <is>
          <t>2026-06</t>
        </is>
      </c>
      <c r="B172" s="13" t="inlineStr">
        <is>
          <t>Pompton Plains</t>
        </is>
      </c>
      <c r="C172" s="13" t="n">
        <v>2</v>
      </c>
      <c r="D172" s="13" t="n">
        <v>1</v>
      </c>
      <c r="E172" s="13" t="n">
        <v>1</v>
      </c>
      <c r="F172" s="11">
        <f>IF(D172+E172=0,"",E172/(D172+E172))</f>
        <v/>
      </c>
      <c r="G172" s="13" t="inlineStr"/>
    </row>
    <row r="173">
      <c r="A173" s="14" t="inlineStr">
        <is>
          <t>2026-06</t>
        </is>
      </c>
      <c r="B173" s="14" t="inlineStr">
        <is>
          <t>Roseland</t>
        </is>
      </c>
      <c r="C173" s="14" t="n">
        <v>1</v>
      </c>
      <c r="D173" s="14" t="n">
        <v>0</v>
      </c>
      <c r="E173" s="14" t="n">
        <v>1</v>
      </c>
      <c r="F173" s="6">
        <f>IF(D173+E173=0,"",E173/(D173+E173))</f>
        <v/>
      </c>
      <c r="G173" s="14" t="inlineStr"/>
    </row>
    <row r="174">
      <c r="A174" s="13" t="inlineStr">
        <is>
          <t>2026-06</t>
        </is>
      </c>
      <c r="B174" s="13" t="inlineStr">
        <is>
          <t>Union</t>
        </is>
      </c>
      <c r="C174" s="13" t="n">
        <v>1</v>
      </c>
      <c r="D174" s="13" t="n">
        <v>0</v>
      </c>
      <c r="E174" s="13" t="n">
        <v>1</v>
      </c>
      <c r="F174" s="11">
        <f>IF(D174+E174=0,"",E174/(D174+E174))</f>
        <v/>
      </c>
      <c r="G174" s="13" t="inlineStr"/>
    </row>
    <row r="175">
      <c r="A175" s="14" t="inlineStr">
        <is>
          <t>2026-06</t>
        </is>
      </c>
      <c r="B175" s="14" t="inlineStr">
        <is>
          <t>Verona</t>
        </is>
      </c>
      <c r="C175" s="14" t="n">
        <v>2</v>
      </c>
      <c r="D175" s="14" t="n">
        <v>1</v>
      </c>
      <c r="E175" s="14" t="n">
        <v>1</v>
      </c>
      <c r="F175" s="6">
        <f>IF(D175+E175=0,"",E175/(D175+E175))</f>
        <v/>
      </c>
      <c r="G175" s="14" t="inlineStr"/>
    </row>
    <row r="176">
      <c r="A176" s="13" t="inlineStr">
        <is>
          <t>2026-06</t>
        </is>
      </c>
      <c r="B176" s="13" t="inlineStr">
        <is>
          <t>Wayne</t>
        </is>
      </c>
      <c r="C176" s="13" t="n">
        <v>1</v>
      </c>
      <c r="D176" s="13" t="n">
        <v>0</v>
      </c>
      <c r="E176" s="13" t="n">
        <v>1</v>
      </c>
      <c r="F176" s="11">
        <f>IF(D176+E176=0,"",E176/(D176+E176))</f>
        <v/>
      </c>
      <c r="G176" s="13" t="inlineStr"/>
    </row>
    <row r="177">
      <c r="A177" s="14" t="inlineStr">
        <is>
          <t>2026-06</t>
        </is>
      </c>
      <c r="B177" s="14" t="inlineStr">
        <is>
          <t>(zip in city field)</t>
        </is>
      </c>
      <c r="C177" s="14" t="n">
        <v>2</v>
      </c>
      <c r="D177" s="14" t="n">
        <v>2</v>
      </c>
      <c r="E177" s="14" t="n">
        <v>0</v>
      </c>
      <c r="F177" s="6">
        <f>IF(D177+E177=0,"",E177/(D177+E177))</f>
        <v/>
      </c>
      <c r="G177" s="14" t="inlineStr"/>
    </row>
    <row r="178">
      <c r="A178" s="13" t="inlineStr">
        <is>
          <t>2026-06</t>
        </is>
      </c>
      <c r="B178" s="13" t="inlineStr">
        <is>
          <t>Denville</t>
        </is>
      </c>
      <c r="C178" s="13" t="n">
        <v>1</v>
      </c>
      <c r="D178" s="13" t="n">
        <v>1</v>
      </c>
      <c r="E178" s="13" t="n">
        <v>0</v>
      </c>
      <c r="F178" s="11">
        <f>IF(D178+E178=0,"",E178/(D178+E178))</f>
        <v/>
      </c>
      <c r="G178" s="13" t="inlineStr"/>
    </row>
    <row r="179">
      <c r="A179" s="14" t="inlineStr">
        <is>
          <t>2026-06</t>
        </is>
      </c>
      <c r="B179" s="14" t="inlineStr">
        <is>
          <t>Passaic</t>
        </is>
      </c>
      <c r="C179" s="14" t="n">
        <v>1</v>
      </c>
      <c r="D179" s="14" t="n">
        <v>1</v>
      </c>
      <c r="E179" s="14" t="n">
        <v>0</v>
      </c>
      <c r="F179" s="6">
        <f>IF(D179+E179=0,"",E179/(D179+E179))</f>
        <v/>
      </c>
      <c r="G179" s="14" t="inlineStr"/>
    </row>
    <row r="180">
      <c r="A180" s="13" t="inlineStr">
        <is>
          <t>2026-06</t>
        </is>
      </c>
      <c r="B180" s="13" t="inlineStr">
        <is>
          <t>Summit</t>
        </is>
      </c>
      <c r="C180" s="13" t="n">
        <v>1</v>
      </c>
      <c r="D180" s="13" t="n">
        <v>1</v>
      </c>
      <c r="E180" s="13" t="n">
        <v>0</v>
      </c>
      <c r="F180" s="11">
        <f>IF(D180+E180=0,"",E180/(D180+E180))</f>
        <v/>
      </c>
      <c r="G180" s="13" t="inlineStr"/>
    </row>
    <row r="181">
      <c r="A181" s="14" t="inlineStr">
        <is>
          <t>2026-06</t>
        </is>
      </c>
      <c r="B181" s="14" t="inlineStr">
        <is>
          <t>West Caldwell</t>
        </is>
      </c>
      <c r="C181" s="14" t="n">
        <v>2</v>
      </c>
      <c r="D181" s="14" t="n">
        <v>2</v>
      </c>
      <c r="E181" s="14" t="n">
        <v>0</v>
      </c>
      <c r="F181" s="6">
        <f>IF(D181+E181=0,"",E181/(D181+E181))</f>
        <v/>
      </c>
      <c r="G181" s="14" t="inlineStr"/>
    </row>
    <row r="182">
      <c r="A182" s="13" t="inlineStr">
        <is>
          <t>2026-06</t>
        </is>
      </c>
      <c r="B182" s="13" t="inlineStr">
        <is>
          <t>West Orange</t>
        </is>
      </c>
      <c r="C182" s="13" t="n">
        <v>4</v>
      </c>
      <c r="D182" s="13" t="n">
        <v>4</v>
      </c>
      <c r="E182" s="13" t="n">
        <v>0</v>
      </c>
      <c r="F182" s="11">
        <f>IF(D182+E182=0,"",E182/(D182+E182))</f>
        <v/>
      </c>
      <c r="G182" s="13" t="inlineStr"/>
    </row>
    <row r="183">
      <c r="A183" s="14" t="inlineStr">
        <is>
          <t>2026-07</t>
        </is>
      </c>
      <c r="B183" s="14" t="inlineStr">
        <is>
          <t>Clifton</t>
        </is>
      </c>
      <c r="C183" s="14" t="n">
        <v>5</v>
      </c>
      <c r="D183" s="14" t="n">
        <v>2</v>
      </c>
      <c r="E183" s="14" t="n">
        <v>3</v>
      </c>
      <c r="F183" s="6">
        <f>IF(D183+E183=0,"",E183/(D183+E183))</f>
        <v/>
      </c>
      <c r="G183" s="14" t="inlineStr"/>
    </row>
    <row r="184">
      <c r="A184" s="13" t="inlineStr">
        <is>
          <t>2026-07</t>
        </is>
      </c>
      <c r="B184" s="13" t="inlineStr">
        <is>
          <t>Montclair</t>
        </is>
      </c>
      <c r="C184" s="13" t="n">
        <v>4</v>
      </c>
      <c r="D184" s="13" t="n">
        <v>1</v>
      </c>
      <c r="E184" s="13" t="n">
        <v>3</v>
      </c>
      <c r="F184" s="11">
        <f>IF(D184+E184=0,"",E184/(D184+E184))</f>
        <v/>
      </c>
      <c r="G184" s="13" t="inlineStr"/>
    </row>
    <row r="185">
      <c r="A185" s="14" t="inlineStr">
        <is>
          <t>2026-07</t>
        </is>
      </c>
      <c r="B185" s="14" t="inlineStr">
        <is>
          <t>Nutley</t>
        </is>
      </c>
      <c r="C185" s="14" t="n">
        <v>3</v>
      </c>
      <c r="D185" s="14" t="n">
        <v>0</v>
      </c>
      <c r="E185" s="14" t="n">
        <v>3</v>
      </c>
      <c r="F185" s="6">
        <f>IF(D185+E185=0,"",E185/(D185+E185))</f>
        <v/>
      </c>
      <c r="G185" s="14" t="inlineStr"/>
    </row>
    <row r="186">
      <c r="A186" s="13" t="inlineStr">
        <is>
          <t>2026-07</t>
        </is>
      </c>
      <c r="B186" s="13" t="inlineStr">
        <is>
          <t>Bloomfield</t>
        </is>
      </c>
      <c r="C186" s="13" t="n">
        <v>3</v>
      </c>
      <c r="D186" s="13" t="n">
        <v>1</v>
      </c>
      <c r="E186" s="13" t="n">
        <v>2</v>
      </c>
      <c r="F186" s="11">
        <f>IF(D186+E186=0,"",E186/(D186+E186))</f>
        <v/>
      </c>
      <c r="G186" s="13" t="inlineStr"/>
    </row>
    <row r="187">
      <c r="A187" s="14" t="inlineStr">
        <is>
          <t>2026-07</t>
        </is>
      </c>
      <c r="B187" s="14" t="inlineStr">
        <is>
          <t>Cedar Grove</t>
        </is>
      </c>
      <c r="C187" s="14" t="n">
        <v>4</v>
      </c>
      <c r="D187" s="14" t="n">
        <v>2</v>
      </c>
      <c r="E187" s="14" t="n">
        <v>2</v>
      </c>
      <c r="F187" s="6">
        <f>IF(D187+E187=0,"",E187/(D187+E187))</f>
        <v/>
      </c>
      <c r="G187" s="14" t="inlineStr"/>
    </row>
    <row r="188">
      <c r="A188" s="13" t="inlineStr">
        <is>
          <t>2026-07</t>
        </is>
      </c>
      <c r="B188" s="13" t="inlineStr">
        <is>
          <t>Dover</t>
        </is>
      </c>
      <c r="C188" s="13" t="n">
        <v>2</v>
      </c>
      <c r="D188" s="13" t="n">
        <v>0</v>
      </c>
      <c r="E188" s="13" t="n">
        <v>2</v>
      </c>
      <c r="F188" s="11">
        <f>IF(D188+E188=0,"",E188/(D188+E188))</f>
        <v/>
      </c>
      <c r="G188" s="13" t="inlineStr"/>
    </row>
    <row r="189">
      <c r="A189" s="14" t="inlineStr">
        <is>
          <t>2026-07</t>
        </is>
      </c>
      <c r="B189" s="14" t="inlineStr">
        <is>
          <t>Essex Fells</t>
        </is>
      </c>
      <c r="C189" s="14" t="n">
        <v>3</v>
      </c>
      <c r="D189" s="14" t="n">
        <v>1</v>
      </c>
      <c r="E189" s="14" t="n">
        <v>2</v>
      </c>
      <c r="F189" s="6">
        <f>IF(D189+E189=0,"",E189/(D189+E189))</f>
        <v/>
      </c>
      <c r="G189" s="14" t="inlineStr"/>
    </row>
    <row r="190">
      <c r="A190" s="13" t="inlineStr">
        <is>
          <t>2026-07</t>
        </is>
      </c>
      <c r="B190" s="13" t="inlineStr">
        <is>
          <t>Montville</t>
        </is>
      </c>
      <c r="C190" s="13" t="n">
        <v>2</v>
      </c>
      <c r="D190" s="13" t="n">
        <v>0</v>
      </c>
      <c r="E190" s="13" t="n">
        <v>2</v>
      </c>
      <c r="F190" s="11">
        <f>IF(D190+E190=0,"",E190/(D190+E190))</f>
        <v/>
      </c>
      <c r="G190" s="13" t="inlineStr"/>
    </row>
    <row r="191">
      <c r="A191" s="14" t="inlineStr">
        <is>
          <t>2026-07</t>
        </is>
      </c>
      <c r="B191" s="14" t="inlineStr">
        <is>
          <t>South Orange</t>
        </is>
      </c>
      <c r="C191" s="14" t="n">
        <v>2</v>
      </c>
      <c r="D191" s="14" t="n">
        <v>0</v>
      </c>
      <c r="E191" s="14" t="n">
        <v>2</v>
      </c>
      <c r="F191" s="6">
        <f>IF(D191+E191=0,"",E191/(D191+E191))</f>
        <v/>
      </c>
      <c r="G191" s="14" t="inlineStr"/>
    </row>
    <row r="192">
      <c r="A192" s="13" t="inlineStr">
        <is>
          <t>2026-07</t>
        </is>
      </c>
      <c r="B192" s="13" t="inlineStr">
        <is>
          <t>Brooklyn</t>
        </is>
      </c>
      <c r="C192" s="13" t="n">
        <v>1</v>
      </c>
      <c r="D192" s="13" t="n">
        <v>0</v>
      </c>
      <c r="E192" s="13" t="n">
        <v>1</v>
      </c>
      <c r="F192" s="11">
        <f>IF(D192+E192=0,"",E192/(D192+E192))</f>
        <v/>
      </c>
      <c r="G192" s="13" t="inlineStr">
        <is>
          <t>Yes</t>
        </is>
      </c>
    </row>
    <row r="193">
      <c r="A193" s="14" t="inlineStr">
        <is>
          <t>2026-07</t>
        </is>
      </c>
      <c r="B193" s="14" t="inlineStr">
        <is>
          <t>Caldwell</t>
        </is>
      </c>
      <c r="C193" s="14" t="n">
        <v>1</v>
      </c>
      <c r="D193" s="14" t="n">
        <v>0</v>
      </c>
      <c r="E193" s="14" t="n">
        <v>1</v>
      </c>
      <c r="F193" s="6">
        <f>IF(D193+E193=0,"",E193/(D193+E193))</f>
        <v/>
      </c>
      <c r="G193" s="14" t="inlineStr"/>
    </row>
    <row r="194">
      <c r="A194" s="13" t="inlineStr">
        <is>
          <t>2026-07</t>
        </is>
      </c>
      <c r="B194" s="13" t="inlineStr">
        <is>
          <t>East Orange</t>
        </is>
      </c>
      <c r="C194" s="13" t="n">
        <v>1</v>
      </c>
      <c r="D194" s="13" t="n">
        <v>0</v>
      </c>
      <c r="E194" s="13" t="n">
        <v>1</v>
      </c>
      <c r="F194" s="11">
        <f>IF(D194+E194=0,"",E194/(D194+E194))</f>
        <v/>
      </c>
      <c r="G194" s="13" t="inlineStr"/>
    </row>
    <row r="195">
      <c r="A195" s="14" t="inlineStr">
        <is>
          <t>2026-07</t>
        </is>
      </c>
      <c r="B195" s="14" t="inlineStr">
        <is>
          <t>Freehold</t>
        </is>
      </c>
      <c r="C195" s="14" t="n">
        <v>1</v>
      </c>
      <c r="D195" s="14" t="n">
        <v>0</v>
      </c>
      <c r="E195" s="14" t="n">
        <v>1</v>
      </c>
      <c r="F195" s="6">
        <f>IF(D195+E195=0,"",E195/(D195+E195))</f>
        <v/>
      </c>
      <c r="G195" s="14" t="inlineStr">
        <is>
          <t>Yes</t>
        </is>
      </c>
    </row>
    <row r="196">
      <c r="A196" s="13" t="inlineStr">
        <is>
          <t>2026-07</t>
        </is>
      </c>
      <c r="B196" s="13" t="inlineStr">
        <is>
          <t>Lake Hiawatha</t>
        </is>
      </c>
      <c r="C196" s="13" t="n">
        <v>1</v>
      </c>
      <c r="D196" s="13" t="n">
        <v>0</v>
      </c>
      <c r="E196" s="13" t="n">
        <v>1</v>
      </c>
      <c r="F196" s="11">
        <f>IF(D196+E196=0,"",E196/(D196+E196))</f>
        <v/>
      </c>
      <c r="G196" s="13" t="inlineStr"/>
    </row>
    <row r="197">
      <c r="A197" s="14" t="inlineStr">
        <is>
          <t>2026-07</t>
        </is>
      </c>
      <c r="B197" s="14" t="inlineStr">
        <is>
          <t>North Bergen</t>
        </is>
      </c>
      <c r="C197" s="14" t="n">
        <v>1</v>
      </c>
      <c r="D197" s="14" t="n">
        <v>0</v>
      </c>
      <c r="E197" s="14" t="n">
        <v>1</v>
      </c>
      <c r="F197" s="6">
        <f>IF(D197+E197=0,"",E197/(D197+E197))</f>
        <v/>
      </c>
      <c r="G197" s="14" t="inlineStr">
        <is>
          <t>Yes</t>
        </is>
      </c>
    </row>
    <row r="198">
      <c r="A198" s="13" t="inlineStr">
        <is>
          <t>2026-07</t>
        </is>
      </c>
      <c r="B198" s="13" t="inlineStr">
        <is>
          <t>Roseland</t>
        </is>
      </c>
      <c r="C198" s="13" t="n">
        <v>1</v>
      </c>
      <c r="D198" s="13" t="n">
        <v>0</v>
      </c>
      <c r="E198" s="13" t="n">
        <v>1</v>
      </c>
      <c r="F198" s="11">
        <f>IF(D198+E198=0,"",E198/(D198+E198))</f>
        <v/>
      </c>
      <c r="G198" s="13" t="inlineStr"/>
    </row>
    <row r="199">
      <c r="A199" s="14" t="inlineStr">
        <is>
          <t>2026-07</t>
        </is>
      </c>
      <c r="B199" s="14" t="inlineStr">
        <is>
          <t>Totowa</t>
        </is>
      </c>
      <c r="C199" s="14" t="n">
        <v>1</v>
      </c>
      <c r="D199" s="14" t="n">
        <v>0</v>
      </c>
      <c r="E199" s="14" t="n">
        <v>1</v>
      </c>
      <c r="F199" s="6">
        <f>IF(D199+E199=0,"",E199/(D199+E199))</f>
        <v/>
      </c>
      <c r="G199" s="14" t="inlineStr"/>
    </row>
    <row r="200">
      <c r="A200" s="13" t="inlineStr">
        <is>
          <t>2026-07</t>
        </is>
      </c>
      <c r="B200" s="13" t="inlineStr">
        <is>
          <t>Union</t>
        </is>
      </c>
      <c r="C200" s="13" t="n">
        <v>1</v>
      </c>
      <c r="D200" s="13" t="n">
        <v>0</v>
      </c>
      <c r="E200" s="13" t="n">
        <v>1</v>
      </c>
      <c r="F200" s="11">
        <f>IF(D200+E200=0,"",E200/(D200+E200))</f>
        <v/>
      </c>
      <c r="G200" s="13" t="inlineStr"/>
    </row>
    <row r="201">
      <c r="A201" s="14" t="inlineStr">
        <is>
          <t>2026-07</t>
        </is>
      </c>
      <c r="B201" s="14" t="inlineStr">
        <is>
          <t>West Orange</t>
        </is>
      </c>
      <c r="C201" s="14" t="n">
        <v>3</v>
      </c>
      <c r="D201" s="14" t="n">
        <v>2</v>
      </c>
      <c r="E201" s="14" t="n">
        <v>1</v>
      </c>
      <c r="F201" s="6">
        <f>IF(D201+E201=0,"",E201/(D201+E201))</f>
        <v/>
      </c>
      <c r="G201" s="14" t="inlineStr"/>
    </row>
    <row r="202">
      <c r="A202" s="13" t="inlineStr">
        <is>
          <t>2026-07</t>
        </is>
      </c>
      <c r="B202" s="13" t="inlineStr">
        <is>
          <t>Fairfield</t>
        </is>
      </c>
      <c r="C202" s="13" t="n">
        <v>1</v>
      </c>
      <c r="D202" s="13" t="n">
        <v>1</v>
      </c>
      <c r="E202" s="13" t="n">
        <v>0</v>
      </c>
      <c r="F202" s="11">
        <f>IF(D202+E202=0,"",E202/(D202+E202))</f>
        <v/>
      </c>
      <c r="G202" s="13" t="inlineStr"/>
    </row>
    <row r="203">
      <c r="A203" s="14" t="inlineStr">
        <is>
          <t>2026-07</t>
        </is>
      </c>
      <c r="B203" s="14" t="inlineStr">
        <is>
          <t>Glen Ridge</t>
        </is>
      </c>
      <c r="C203" s="14" t="n">
        <v>2</v>
      </c>
      <c r="D203" s="14" t="n">
        <v>2</v>
      </c>
      <c r="E203" s="14" t="n">
        <v>0</v>
      </c>
      <c r="F203" s="6">
        <f>IF(D203+E203=0,"",E203/(D203+E203))</f>
        <v/>
      </c>
      <c r="G203" s="14" t="inlineStr"/>
    </row>
    <row r="204">
      <c r="A204" s="13" t="inlineStr">
        <is>
          <t>2026-07</t>
        </is>
      </c>
      <c r="B204" s="13" t="inlineStr">
        <is>
          <t>Little Falls</t>
        </is>
      </c>
      <c r="C204" s="13" t="n">
        <v>1</v>
      </c>
      <c r="D204" s="13" t="n">
        <v>1</v>
      </c>
      <c r="E204" s="13" t="n">
        <v>0</v>
      </c>
      <c r="F204" s="11">
        <f>IF(D204+E204=0,"",E204/(D204+E204))</f>
        <v/>
      </c>
      <c r="G204" s="13" t="inlineStr"/>
    </row>
    <row r="205">
      <c r="A205" s="14" t="inlineStr">
        <is>
          <t>2026-07</t>
        </is>
      </c>
      <c r="B205" s="14" t="inlineStr">
        <is>
          <t>Livingston</t>
        </is>
      </c>
      <c r="C205" s="14" t="n">
        <v>2</v>
      </c>
      <c r="D205" s="14" t="n">
        <v>2</v>
      </c>
      <c r="E205" s="14" t="n">
        <v>0</v>
      </c>
      <c r="F205" s="6">
        <f>IF(D205+E205=0,"",E205/(D205+E205))</f>
        <v/>
      </c>
      <c r="G205" s="14" t="inlineStr"/>
    </row>
    <row r="206">
      <c r="A206" s="13" t="inlineStr">
        <is>
          <t>2026-07</t>
        </is>
      </c>
      <c r="B206" s="13" t="inlineStr">
        <is>
          <t>Randolph</t>
        </is>
      </c>
      <c r="C206" s="13" t="n">
        <v>1</v>
      </c>
      <c r="D206" s="13" t="n">
        <v>1</v>
      </c>
      <c r="E206" s="13" t="n">
        <v>0</v>
      </c>
      <c r="F206" s="11">
        <f>IF(D206+E206=0,"",E206/(D206+E206))</f>
        <v/>
      </c>
      <c r="G206" s="13" t="inlineStr"/>
    </row>
    <row r="207">
      <c r="A207" s="14" t="inlineStr">
        <is>
          <t>2026-07</t>
        </is>
      </c>
      <c r="B207" s="14" t="inlineStr">
        <is>
          <t>Woodland Park</t>
        </is>
      </c>
      <c r="C207" s="14" t="n">
        <v>1</v>
      </c>
      <c r="D207" s="14" t="n">
        <v>1</v>
      </c>
      <c r="E207" s="14" t="n">
        <v>0</v>
      </c>
      <c r="F207" s="6">
        <f>IF(D207+E207=0,"",E207/(D207+E207))</f>
        <v/>
      </c>
      <c r="G207" s="14" t="inlineStr"/>
    </row>
    <row r="208">
      <c r="A208" s="13" t="inlineStr">
        <is>
          <t>2026-08</t>
        </is>
      </c>
      <c r="B208" s="13" t="inlineStr">
        <is>
          <t>West Orange</t>
        </is>
      </c>
      <c r="C208" s="13" t="n">
        <v>7</v>
      </c>
      <c r="D208" s="13" t="n">
        <v>3</v>
      </c>
      <c r="E208" s="13" t="n">
        <v>4</v>
      </c>
      <c r="F208" s="11">
        <f>IF(D208+E208=0,"",E208/(D208+E208))</f>
        <v/>
      </c>
      <c r="G208" s="13" t="inlineStr"/>
    </row>
    <row r="209">
      <c r="A209" s="14" t="inlineStr">
        <is>
          <t>2026-08</t>
        </is>
      </c>
      <c r="B209" s="14" t="inlineStr">
        <is>
          <t>Bloomfield</t>
        </is>
      </c>
      <c r="C209" s="14" t="n">
        <v>3</v>
      </c>
      <c r="D209" s="14" t="n">
        <v>0</v>
      </c>
      <c r="E209" s="14" t="n">
        <v>3</v>
      </c>
      <c r="F209" s="6">
        <f>IF(D209+E209=0,"",E209/(D209+E209))</f>
        <v/>
      </c>
      <c r="G209" s="14" t="inlineStr"/>
    </row>
    <row r="210">
      <c r="A210" s="13" t="inlineStr">
        <is>
          <t>2026-08</t>
        </is>
      </c>
      <c r="B210" s="13" t="inlineStr">
        <is>
          <t>Clifton</t>
        </is>
      </c>
      <c r="C210" s="13" t="n">
        <v>3</v>
      </c>
      <c r="D210" s="13" t="n">
        <v>0</v>
      </c>
      <c r="E210" s="13" t="n">
        <v>3</v>
      </c>
      <c r="F210" s="11">
        <f>IF(D210+E210=0,"",E210/(D210+E210))</f>
        <v/>
      </c>
      <c r="G210" s="13" t="inlineStr"/>
    </row>
    <row r="211">
      <c r="A211" s="14" t="inlineStr">
        <is>
          <t>2026-08</t>
        </is>
      </c>
      <c r="B211" s="14" t="inlineStr">
        <is>
          <t>Los Angeles</t>
        </is>
      </c>
      <c r="C211" s="14" t="n">
        <v>2</v>
      </c>
      <c r="D211" s="14" t="n">
        <v>0</v>
      </c>
      <c r="E211" s="14" t="n">
        <v>2</v>
      </c>
      <c r="F211" s="6">
        <f>IF(D211+E211=0,"",E211/(D211+E211))</f>
        <v/>
      </c>
      <c r="G211" s="14" t="inlineStr">
        <is>
          <t>Yes</t>
        </is>
      </c>
    </row>
    <row r="212">
      <c r="A212" s="13" t="inlineStr">
        <is>
          <t>2026-08</t>
        </is>
      </c>
      <c r="B212" s="13" t="inlineStr">
        <is>
          <t>Nutley</t>
        </is>
      </c>
      <c r="C212" s="13" t="n">
        <v>2</v>
      </c>
      <c r="D212" s="13" t="n">
        <v>0</v>
      </c>
      <c r="E212" s="13" t="n">
        <v>2</v>
      </c>
      <c r="F212" s="11">
        <f>IF(D212+E212=0,"",E212/(D212+E212))</f>
        <v/>
      </c>
      <c r="G212" s="13" t="inlineStr"/>
    </row>
    <row r="213">
      <c r="A213" s="14" t="inlineStr">
        <is>
          <t>2026-08</t>
        </is>
      </c>
      <c r="B213" s="14" t="inlineStr">
        <is>
          <t>South Orange</t>
        </is>
      </c>
      <c r="C213" s="14" t="n">
        <v>5</v>
      </c>
      <c r="D213" s="14" t="n">
        <v>3</v>
      </c>
      <c r="E213" s="14" t="n">
        <v>2</v>
      </c>
      <c r="F213" s="6">
        <f>IF(D213+E213=0,"",E213/(D213+E213))</f>
        <v/>
      </c>
      <c r="G213" s="14" t="inlineStr"/>
    </row>
    <row r="214">
      <c r="A214" s="13" t="inlineStr">
        <is>
          <t>2026-08</t>
        </is>
      </c>
      <c r="B214" s="13" t="inlineStr">
        <is>
          <t>Bayonne</t>
        </is>
      </c>
      <c r="C214" s="13" t="n">
        <v>1</v>
      </c>
      <c r="D214" s="13" t="n">
        <v>0</v>
      </c>
      <c r="E214" s="13" t="n">
        <v>1</v>
      </c>
      <c r="F214" s="11">
        <f>IF(D214+E214=0,"",E214/(D214+E214))</f>
        <v/>
      </c>
      <c r="G214" s="13" t="inlineStr">
        <is>
          <t>Yes</t>
        </is>
      </c>
    </row>
    <row r="215">
      <c r="A215" s="14" t="inlineStr">
        <is>
          <t>2026-08</t>
        </is>
      </c>
      <c r="B215" s="14" t="inlineStr">
        <is>
          <t>Caldwell</t>
        </is>
      </c>
      <c r="C215" s="14" t="n">
        <v>1</v>
      </c>
      <c r="D215" s="14" t="n">
        <v>0</v>
      </c>
      <c r="E215" s="14" t="n">
        <v>1</v>
      </c>
      <c r="F215" s="6">
        <f>IF(D215+E215=0,"",E215/(D215+E215))</f>
        <v/>
      </c>
      <c r="G215" s="14" t="inlineStr"/>
    </row>
    <row r="216">
      <c r="A216" s="13" t="inlineStr">
        <is>
          <t>2026-08</t>
        </is>
      </c>
      <c r="B216" s="13" t="inlineStr">
        <is>
          <t>Cedar Grove</t>
        </is>
      </c>
      <c r="C216" s="13" t="n">
        <v>1</v>
      </c>
      <c r="D216" s="13" t="n">
        <v>0</v>
      </c>
      <c r="E216" s="13" t="n">
        <v>1</v>
      </c>
      <c r="F216" s="11">
        <f>IF(D216+E216=0,"",E216/(D216+E216))</f>
        <v/>
      </c>
      <c r="G216" s="13" t="inlineStr"/>
    </row>
    <row r="217">
      <c r="A217" s="14" t="inlineStr">
        <is>
          <t>2026-08</t>
        </is>
      </c>
      <c r="B217" s="14" t="inlineStr">
        <is>
          <t>Chatham</t>
        </is>
      </c>
      <c r="C217" s="14" t="n">
        <v>1</v>
      </c>
      <c r="D217" s="14" t="n">
        <v>0</v>
      </c>
      <c r="E217" s="14" t="n">
        <v>1</v>
      </c>
      <c r="F217" s="6">
        <f>IF(D217+E217=0,"",E217/(D217+E217))</f>
        <v/>
      </c>
      <c r="G217" s="14" t="inlineStr"/>
    </row>
    <row r="218">
      <c r="A218" s="13" t="inlineStr">
        <is>
          <t>2026-08</t>
        </is>
      </c>
      <c r="B218" s="13" t="inlineStr">
        <is>
          <t>Florham Park</t>
        </is>
      </c>
      <c r="C218" s="13" t="n">
        <v>1</v>
      </c>
      <c r="D218" s="13" t="n">
        <v>0</v>
      </c>
      <c r="E218" s="13" t="n">
        <v>1</v>
      </c>
      <c r="F218" s="11">
        <f>IF(D218+E218=0,"",E218/(D218+E218))</f>
        <v/>
      </c>
      <c r="G218" s="13" t="inlineStr"/>
    </row>
    <row r="219">
      <c r="A219" s="14" t="inlineStr">
        <is>
          <t>2026-08</t>
        </is>
      </c>
      <c r="B219" s="14" t="inlineStr">
        <is>
          <t>Green Brook Township</t>
        </is>
      </c>
      <c r="C219" s="14" t="n">
        <v>1</v>
      </c>
      <c r="D219" s="14" t="n">
        <v>0</v>
      </c>
      <c r="E219" s="14" t="n">
        <v>1</v>
      </c>
      <c r="F219" s="6">
        <f>IF(D219+E219=0,"",E219/(D219+E219))</f>
        <v/>
      </c>
      <c r="G219" s="14" t="inlineStr">
        <is>
          <t>Yes</t>
        </is>
      </c>
    </row>
    <row r="220">
      <c r="A220" s="13" t="inlineStr">
        <is>
          <t>2026-08</t>
        </is>
      </c>
      <c r="B220" s="13" t="inlineStr">
        <is>
          <t>Hewitt</t>
        </is>
      </c>
      <c r="C220" s="13" t="n">
        <v>1</v>
      </c>
      <c r="D220" s="13" t="n">
        <v>0</v>
      </c>
      <c r="E220" s="13" t="n">
        <v>1</v>
      </c>
      <c r="F220" s="11">
        <f>IF(D220+E220=0,"",E220/(D220+E220))</f>
        <v/>
      </c>
      <c r="G220" s="13" t="inlineStr">
        <is>
          <t>Yes</t>
        </is>
      </c>
    </row>
    <row r="221">
      <c r="A221" s="14" t="inlineStr">
        <is>
          <t>2026-08</t>
        </is>
      </c>
      <c r="B221" s="14" t="inlineStr">
        <is>
          <t>Jersey City</t>
        </is>
      </c>
      <c r="C221" s="14" t="n">
        <v>1</v>
      </c>
      <c r="D221" s="14" t="n">
        <v>0</v>
      </c>
      <c r="E221" s="14" t="n">
        <v>1</v>
      </c>
      <c r="F221" s="6">
        <f>IF(D221+E221=0,"",E221/(D221+E221))</f>
        <v/>
      </c>
      <c r="G221" s="14" t="inlineStr"/>
    </row>
    <row r="222">
      <c r="A222" s="13" t="inlineStr">
        <is>
          <t>2026-08</t>
        </is>
      </c>
      <c r="B222" s="13" t="inlineStr">
        <is>
          <t>Maplewood</t>
        </is>
      </c>
      <c r="C222" s="13" t="n">
        <v>2</v>
      </c>
      <c r="D222" s="13" t="n">
        <v>1</v>
      </c>
      <c r="E222" s="13" t="n">
        <v>1</v>
      </c>
      <c r="F222" s="11">
        <f>IF(D222+E222=0,"",E222/(D222+E222))</f>
        <v/>
      </c>
      <c r="G222" s="13" t="inlineStr"/>
    </row>
    <row r="223">
      <c r="A223" s="14" t="inlineStr">
        <is>
          <t>2026-08</t>
        </is>
      </c>
      <c r="B223" s="14" t="inlineStr">
        <is>
          <t>Montclair</t>
        </is>
      </c>
      <c r="C223" s="14" t="n">
        <v>3</v>
      </c>
      <c r="D223" s="14" t="n">
        <v>2</v>
      </c>
      <c r="E223" s="14" t="n">
        <v>1</v>
      </c>
      <c r="F223" s="6">
        <f>IF(D223+E223=0,"",E223/(D223+E223))</f>
        <v/>
      </c>
      <c r="G223" s="14" t="inlineStr"/>
    </row>
    <row r="224">
      <c r="A224" s="13" t="inlineStr">
        <is>
          <t>2026-08</t>
        </is>
      </c>
      <c r="B224" s="13" t="inlineStr">
        <is>
          <t>Morris Plains</t>
        </is>
      </c>
      <c r="C224" s="13" t="n">
        <v>1</v>
      </c>
      <c r="D224" s="13" t="n">
        <v>0</v>
      </c>
      <c r="E224" s="13" t="n">
        <v>1</v>
      </c>
      <c r="F224" s="11">
        <f>IF(D224+E224=0,"",E224/(D224+E224))</f>
        <v/>
      </c>
      <c r="G224" s="13" t="inlineStr"/>
    </row>
    <row r="225">
      <c r="A225" s="14" t="inlineStr">
        <is>
          <t>2026-08</t>
        </is>
      </c>
      <c r="B225" s="14" t="inlineStr">
        <is>
          <t>Pittstown</t>
        </is>
      </c>
      <c r="C225" s="14" t="n">
        <v>1</v>
      </c>
      <c r="D225" s="14" t="n">
        <v>0</v>
      </c>
      <c r="E225" s="14" t="n">
        <v>1</v>
      </c>
      <c r="F225" s="6">
        <f>IF(D225+E225=0,"",E225/(D225+E225))</f>
        <v/>
      </c>
      <c r="G225" s="14" t="inlineStr">
        <is>
          <t>Yes</t>
        </is>
      </c>
    </row>
    <row r="226">
      <c r="A226" s="13" t="inlineStr">
        <is>
          <t>2026-08</t>
        </is>
      </c>
      <c r="B226" s="13" t="inlineStr">
        <is>
          <t>Pompton Lakes</t>
        </is>
      </c>
      <c r="C226" s="13" t="n">
        <v>1</v>
      </c>
      <c r="D226" s="13" t="n">
        <v>0</v>
      </c>
      <c r="E226" s="13" t="n">
        <v>1</v>
      </c>
      <c r="F226" s="11">
        <f>IF(D226+E226=0,"",E226/(D226+E226))</f>
        <v/>
      </c>
      <c r="G226" s="13" t="inlineStr"/>
    </row>
    <row r="227">
      <c r="A227" s="14" t="inlineStr">
        <is>
          <t>2026-08</t>
        </is>
      </c>
      <c r="B227" s="14" t="inlineStr">
        <is>
          <t>Short Hills</t>
        </is>
      </c>
      <c r="C227" s="14" t="n">
        <v>1</v>
      </c>
      <c r="D227" s="14" t="n">
        <v>0</v>
      </c>
      <c r="E227" s="14" t="n">
        <v>1</v>
      </c>
      <c r="F227" s="6">
        <f>IF(D227+E227=0,"",E227/(D227+E227))</f>
        <v/>
      </c>
      <c r="G227" s="14" t="inlineStr"/>
    </row>
    <row r="228">
      <c r="A228" s="13" t="inlineStr">
        <is>
          <t>2026-08</t>
        </is>
      </c>
      <c r="B228" s="13" t="inlineStr">
        <is>
          <t>Stewartsville</t>
        </is>
      </c>
      <c r="C228" s="13" t="n">
        <v>1</v>
      </c>
      <c r="D228" s="13" t="n">
        <v>0</v>
      </c>
      <c r="E228" s="13" t="n">
        <v>1</v>
      </c>
      <c r="F228" s="11">
        <f>IF(D228+E228=0,"",E228/(D228+E228))</f>
        <v/>
      </c>
      <c r="G228" s="13" t="inlineStr">
        <is>
          <t>Yes</t>
        </is>
      </c>
    </row>
    <row r="229">
      <c r="A229" s="14" t="inlineStr">
        <is>
          <t>2026-08</t>
        </is>
      </c>
      <c r="B229" s="14" t="inlineStr">
        <is>
          <t>West Milford</t>
        </is>
      </c>
      <c r="C229" s="14" t="n">
        <v>1</v>
      </c>
      <c r="D229" s="14" t="n">
        <v>0</v>
      </c>
      <c r="E229" s="14" t="n">
        <v>1</v>
      </c>
      <c r="F229" s="6">
        <f>IF(D229+E229=0,"",E229/(D229+E229))</f>
        <v/>
      </c>
      <c r="G229" s="14" t="inlineStr">
        <is>
          <t>Yes</t>
        </is>
      </c>
    </row>
    <row r="230">
      <c r="A230" s="13" t="inlineStr">
        <is>
          <t>2026-08</t>
        </is>
      </c>
      <c r="B230" s="13" t="inlineStr">
        <is>
          <t>East Orange</t>
        </is>
      </c>
      <c r="C230" s="13" t="n">
        <v>1</v>
      </c>
      <c r="D230" s="13" t="n">
        <v>1</v>
      </c>
      <c r="E230" s="13" t="n">
        <v>0</v>
      </c>
      <c r="F230" s="11">
        <f>IF(D230+E230=0,"",E230/(D230+E230))</f>
        <v/>
      </c>
      <c r="G230" s="13" t="inlineStr"/>
    </row>
    <row r="231">
      <c r="A231" s="14" t="inlineStr">
        <is>
          <t>2026-08</t>
        </is>
      </c>
      <c r="B231" s="14" t="inlineStr">
        <is>
          <t>Summit</t>
        </is>
      </c>
      <c r="C231" s="14" t="n">
        <v>2</v>
      </c>
      <c r="D231" s="14" t="n">
        <v>2</v>
      </c>
      <c r="E231" s="14" t="n">
        <v>0</v>
      </c>
      <c r="F231" s="6">
        <f>IF(D231+E231=0,"",E231/(D231+E231))</f>
        <v/>
      </c>
      <c r="G231" s="14" t="inlineStr"/>
    </row>
  </sheetData>
  <autoFilter ref="A4:G231"/>
  <mergeCells count="1">
    <mergeCell ref="A2:G2"/>
  </mergeCells>
  <conditionalFormatting sqref="F5:F23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showGridLines="0" workbookViewId="0">
      <pane ySplit="4" topLeftCell="A5" activePane="bottomLeft" state="frozen"/>
      <selection pane="bottomLeft" activeCell="A1" sqref="A1"/>
    </sheetView>
  </sheetViews>
  <sheetFormatPr baseColWidth="8" defaultRowHeight="15"/>
  <cols>
    <col width="26" customWidth="1" min="1" max="1"/>
    <col width="15" customWidth="1" min="2" max="2"/>
    <col width="16" customWidth="1" min="3" max="3"/>
    <col width="11" customWidth="1" min="4" max="4"/>
    <col width="11" customWidth="1" min="5" max="5"/>
    <col width="15" customWidth="1" min="6" max="6"/>
    <col width="13" customWidth="1" min="7" max="7"/>
    <col width="18" customWidth="1" min="8" max="8"/>
  </cols>
  <sheetData>
    <row r="1" ht="22" customHeight="1">
      <c r="A1" s="1" t="inlineStr">
        <is>
          <t>Cancellation rate by town — full 12 months</t>
        </is>
      </c>
    </row>
    <row r="2" ht="30" customHeight="1">
      <c r="A2" s="2" t="inlineStr">
        <is>
          <t>Every town KTU booked an in-home consult in, Sep 2025 – Aug 2026, ranked worst cancellation rate first. Read the low-volume rows with care: a town with two appointments can show 100% and mean very little. The pattern that holds is the gradient — the affluent Essex core cancels least, the urban and Hudson-county towns and anything beyond about 25 miles cancels most.</t>
        </is>
      </c>
    </row>
    <row r="4" ht="30" customHeight="1">
      <c r="A4" s="3" t="inlineStr">
        <is>
          <t>Town</t>
        </is>
      </c>
      <c r="B4" s="3" t="inlineStr">
        <is>
          <t>Most common ZIP</t>
        </is>
      </c>
      <c r="C4" s="3" t="inlineStr">
        <is>
          <t>Consults booked</t>
        </is>
      </c>
      <c r="D4" s="3" t="inlineStr">
        <is>
          <t>Attended</t>
        </is>
      </c>
      <c r="E4" s="3" t="inlineStr">
        <is>
          <t>Cancelled</t>
        </is>
      </c>
      <c r="F4" s="3" t="inlineStr">
        <is>
          <t>Cancellation %</t>
        </is>
      </c>
      <c r="G4" s="3" t="inlineStr">
        <is>
          <t>Months active</t>
        </is>
      </c>
      <c r="H4" s="3" t="inlineStr">
        <is>
          <t>Out of service area</t>
        </is>
      </c>
    </row>
    <row r="5">
      <c r="A5" s="14" t="inlineStr">
        <is>
          <t>Montville</t>
        </is>
      </c>
      <c r="B5" s="14" t="inlineStr">
        <is>
          <t>07045</t>
        </is>
      </c>
      <c r="C5" s="14" t="n">
        <v>5</v>
      </c>
      <c r="D5" s="14" t="n">
        <v>0</v>
      </c>
      <c r="E5" s="14" t="n">
        <v>5</v>
      </c>
      <c r="F5" s="6">
        <f>IF(D5+E5=0,"",E5/(D5+E5))</f>
        <v/>
      </c>
      <c r="G5" s="14" t="n">
        <v>3</v>
      </c>
      <c r="H5" s="14" t="inlineStr"/>
    </row>
    <row r="6">
      <c r="A6" s="13" t="inlineStr">
        <is>
          <t>Wayne</t>
        </is>
      </c>
      <c r="B6" s="13" t="inlineStr">
        <is>
          <t>07470</t>
        </is>
      </c>
      <c r="C6" s="13" t="n">
        <v>4</v>
      </c>
      <c r="D6" s="13" t="n">
        <v>0</v>
      </c>
      <c r="E6" s="13" t="n">
        <v>4</v>
      </c>
      <c r="F6" s="11">
        <f>IF(D6+E6=0,"",E6/(D6+E6))</f>
        <v/>
      </c>
      <c r="G6" s="13" t="n">
        <v>3</v>
      </c>
      <c r="H6" s="13" t="inlineStr"/>
    </row>
    <row r="7">
      <c r="A7" s="14" t="inlineStr">
        <is>
          <t>Irvington</t>
        </is>
      </c>
      <c r="B7" s="14" t="inlineStr">
        <is>
          <t>07111</t>
        </is>
      </c>
      <c r="C7" s="14" t="n">
        <v>2</v>
      </c>
      <c r="D7" s="14" t="n">
        <v>0</v>
      </c>
      <c r="E7" s="14" t="n">
        <v>2</v>
      </c>
      <c r="F7" s="6">
        <f>IF(D7+E7=0,"",E7/(D7+E7))</f>
        <v/>
      </c>
      <c r="G7" s="14" t="n">
        <v>2</v>
      </c>
      <c r="H7" s="14" t="inlineStr"/>
    </row>
    <row r="8">
      <c r="A8" s="13" t="inlineStr">
        <is>
          <t>Lake Hiawatha</t>
        </is>
      </c>
      <c r="B8" s="13" t="inlineStr">
        <is>
          <t>07034</t>
        </is>
      </c>
      <c r="C8" s="13" t="n">
        <v>2</v>
      </c>
      <c r="D8" s="13" t="n">
        <v>0</v>
      </c>
      <c r="E8" s="13" t="n">
        <v>2</v>
      </c>
      <c r="F8" s="11">
        <f>IF(D8+E8=0,"",E8/(D8+E8))</f>
        <v/>
      </c>
      <c r="G8" s="13" t="n">
        <v>2</v>
      </c>
      <c r="H8" s="13" t="inlineStr"/>
    </row>
    <row r="9">
      <c r="A9" s="14" t="inlineStr">
        <is>
          <t>Morris Plains</t>
        </is>
      </c>
      <c r="B9" s="14" t="inlineStr">
        <is>
          <t>07950</t>
        </is>
      </c>
      <c r="C9" s="14" t="n">
        <v>2</v>
      </c>
      <c r="D9" s="14" t="n">
        <v>0</v>
      </c>
      <c r="E9" s="14" t="n">
        <v>2</v>
      </c>
      <c r="F9" s="6">
        <f>IF(D9+E9=0,"",E9/(D9+E9))</f>
        <v/>
      </c>
      <c r="G9" s="14" t="n">
        <v>2</v>
      </c>
      <c r="H9" s="14" t="inlineStr"/>
    </row>
    <row r="10">
      <c r="A10" s="13" t="inlineStr">
        <is>
          <t>Newark</t>
        </is>
      </c>
      <c r="B10" s="13" t="inlineStr">
        <is>
          <t>07112</t>
        </is>
      </c>
      <c r="C10" s="13" t="n">
        <v>2</v>
      </c>
      <c r="D10" s="13" t="n">
        <v>0</v>
      </c>
      <c r="E10" s="13" t="n">
        <v>2</v>
      </c>
      <c r="F10" s="11">
        <f>IF(D10+E10=0,"",E10/(D10+E10))</f>
        <v/>
      </c>
      <c r="G10" s="13" t="n">
        <v>2</v>
      </c>
      <c r="H10" s="13" t="inlineStr"/>
    </row>
    <row r="11">
      <c r="A11" s="14" t="inlineStr">
        <is>
          <t>Kearny</t>
        </is>
      </c>
      <c r="B11" s="14" t="inlineStr">
        <is>
          <t>07032</t>
        </is>
      </c>
      <c r="C11" s="14" t="n">
        <v>2</v>
      </c>
      <c r="D11" s="14" t="n">
        <v>0</v>
      </c>
      <c r="E11" s="14" t="n">
        <v>2</v>
      </c>
      <c r="F11" s="6">
        <f>IF(D11+E11=0,"",E11/(D11+E11))</f>
        <v/>
      </c>
      <c r="G11" s="14" t="n">
        <v>2</v>
      </c>
      <c r="H11" s="14" t="inlineStr"/>
    </row>
    <row r="12">
      <c r="A12" s="13" t="inlineStr">
        <is>
          <t>Florham Park</t>
        </is>
      </c>
      <c r="B12" s="13" t="inlineStr">
        <is>
          <t>07932</t>
        </is>
      </c>
      <c r="C12" s="13" t="n">
        <v>2</v>
      </c>
      <c r="D12" s="13" t="n">
        <v>0</v>
      </c>
      <c r="E12" s="13" t="n">
        <v>2</v>
      </c>
      <c r="F12" s="11">
        <f>IF(D12+E12=0,"",E12/(D12+E12))</f>
        <v/>
      </c>
      <c r="G12" s="13" t="n">
        <v>2</v>
      </c>
      <c r="H12" s="13" t="inlineStr"/>
    </row>
    <row r="13">
      <c r="A13" s="14" t="inlineStr">
        <is>
          <t>Jersey City</t>
        </is>
      </c>
      <c r="B13" s="14" t="inlineStr">
        <is>
          <t>07302</t>
        </is>
      </c>
      <c r="C13" s="14" t="n">
        <v>2</v>
      </c>
      <c r="D13" s="14" t="n">
        <v>0</v>
      </c>
      <c r="E13" s="14" t="n">
        <v>2</v>
      </c>
      <c r="F13" s="6">
        <f>IF(D13+E13=0,"",E13/(D13+E13))</f>
        <v/>
      </c>
      <c r="G13" s="14" t="n">
        <v>2</v>
      </c>
      <c r="H13" s="14" t="inlineStr"/>
    </row>
    <row r="14">
      <c r="A14" s="13" t="inlineStr">
        <is>
          <t>Hewitt</t>
        </is>
      </c>
      <c r="B14" s="13" t="inlineStr">
        <is>
          <t>07421</t>
        </is>
      </c>
      <c r="C14" s="13" t="n">
        <v>2</v>
      </c>
      <c r="D14" s="13" t="n">
        <v>0</v>
      </c>
      <c r="E14" s="13" t="n">
        <v>2</v>
      </c>
      <c r="F14" s="11">
        <f>IF(D14+E14=0,"",E14/(D14+E14))</f>
        <v/>
      </c>
      <c r="G14" s="13" t="n">
        <v>2</v>
      </c>
      <c r="H14" s="13" t="inlineStr">
        <is>
          <t>Yes</t>
        </is>
      </c>
    </row>
    <row r="15">
      <c r="A15" s="14" t="inlineStr">
        <is>
          <t>Hillside</t>
        </is>
      </c>
      <c r="B15" s="14" t="inlineStr">
        <is>
          <t>07205</t>
        </is>
      </c>
      <c r="C15" s="14" t="n">
        <v>2</v>
      </c>
      <c r="D15" s="14" t="n">
        <v>0</v>
      </c>
      <c r="E15" s="14" t="n">
        <v>2</v>
      </c>
      <c r="F15" s="6">
        <f>IF(D15+E15=0,"",E15/(D15+E15))</f>
        <v/>
      </c>
      <c r="G15" s="14" t="n">
        <v>1</v>
      </c>
      <c r="H15" s="14" t="inlineStr"/>
    </row>
    <row r="16">
      <c r="A16" s="13" t="inlineStr">
        <is>
          <t>Secaucus</t>
        </is>
      </c>
      <c r="B16" s="13" t="inlineStr">
        <is>
          <t>07094</t>
        </is>
      </c>
      <c r="C16" s="13" t="n">
        <v>2</v>
      </c>
      <c r="D16" s="13" t="n">
        <v>0</v>
      </c>
      <c r="E16" s="13" t="n">
        <v>2</v>
      </c>
      <c r="F16" s="11">
        <f>IF(D16+E16=0,"",E16/(D16+E16))</f>
        <v/>
      </c>
      <c r="G16" s="13" t="n">
        <v>1</v>
      </c>
      <c r="H16" s="13" t="inlineStr">
        <is>
          <t>Yes</t>
        </is>
      </c>
    </row>
    <row r="17">
      <c r="A17" s="14" t="inlineStr">
        <is>
          <t>Dover</t>
        </is>
      </c>
      <c r="B17" s="14" t="inlineStr">
        <is>
          <t>07081</t>
        </is>
      </c>
      <c r="C17" s="14" t="n">
        <v>2</v>
      </c>
      <c r="D17" s="14" t="n">
        <v>0</v>
      </c>
      <c r="E17" s="14" t="n">
        <v>2</v>
      </c>
      <c r="F17" s="6">
        <f>IF(D17+E17=0,"",E17/(D17+E17))</f>
        <v/>
      </c>
      <c r="G17" s="14" t="n">
        <v>1</v>
      </c>
      <c r="H17" s="14" t="inlineStr"/>
    </row>
    <row r="18">
      <c r="A18" s="13" t="inlineStr">
        <is>
          <t>Monroeville</t>
        </is>
      </c>
      <c r="B18" s="13" t="inlineStr">
        <is>
          <t>08343</t>
        </is>
      </c>
      <c r="C18" s="13" t="n">
        <v>1</v>
      </c>
      <c r="D18" s="13" t="n">
        <v>0</v>
      </c>
      <c r="E18" s="13" t="n">
        <v>1</v>
      </c>
      <c r="F18" s="11">
        <f>IF(D18+E18=0,"",E18/(D18+E18))</f>
        <v/>
      </c>
      <c r="G18" s="13" t="n">
        <v>1</v>
      </c>
      <c r="H18" s="13" t="inlineStr"/>
    </row>
    <row r="19">
      <c r="A19" s="14" t="inlineStr">
        <is>
          <t>Montcalir</t>
        </is>
      </c>
      <c r="B19" s="14" t="inlineStr">
        <is>
          <t>07043</t>
        </is>
      </c>
      <c r="C19" s="14" t="n">
        <v>1</v>
      </c>
      <c r="D19" s="14" t="n">
        <v>0</v>
      </c>
      <c r="E19" s="14" t="n">
        <v>1</v>
      </c>
      <c r="F19" s="6">
        <f>IF(D19+E19=0,"",E19/(D19+E19))</f>
        <v/>
      </c>
      <c r="G19" s="14" t="n">
        <v>1</v>
      </c>
      <c r="H19" s="14" t="inlineStr"/>
    </row>
    <row r="20">
      <c r="A20" s="13" t="inlineStr">
        <is>
          <t>Orange</t>
        </is>
      </c>
      <c r="B20" s="13" t="inlineStr">
        <is>
          <t>07050</t>
        </is>
      </c>
      <c r="C20" s="13" t="n">
        <v>1</v>
      </c>
      <c r="D20" s="13" t="n">
        <v>0</v>
      </c>
      <c r="E20" s="13" t="n">
        <v>1</v>
      </c>
      <c r="F20" s="11">
        <f>IF(D20+E20=0,"",E20/(D20+E20))</f>
        <v/>
      </c>
      <c r="G20" s="13" t="n">
        <v>1</v>
      </c>
      <c r="H20" s="13" t="inlineStr"/>
    </row>
    <row r="21">
      <c r="A21" s="14" t="inlineStr">
        <is>
          <t>Pisctaway</t>
        </is>
      </c>
      <c r="B21" s="14" t="inlineStr">
        <is>
          <t>08854</t>
        </is>
      </c>
      <c r="C21" s="14" t="n">
        <v>1</v>
      </c>
      <c r="D21" s="14" t="n">
        <v>0</v>
      </c>
      <c r="E21" s="14" t="n">
        <v>1</v>
      </c>
      <c r="F21" s="6">
        <f>IF(D21+E21=0,"",E21/(D21+E21))</f>
        <v/>
      </c>
      <c r="G21" s="14" t="n">
        <v>1</v>
      </c>
      <c r="H21" s="14" t="inlineStr"/>
    </row>
    <row r="22">
      <c r="A22" s="13" t="inlineStr">
        <is>
          <t>Colonia</t>
        </is>
      </c>
      <c r="B22" s="13" t="inlineStr">
        <is>
          <t>07067</t>
        </is>
      </c>
      <c r="C22" s="13" t="n">
        <v>1</v>
      </c>
      <c r="D22" s="13" t="n">
        <v>0</v>
      </c>
      <c r="E22" s="13" t="n">
        <v>1</v>
      </c>
      <c r="F22" s="11">
        <f>IF(D22+E22=0,"",E22/(D22+E22))</f>
        <v/>
      </c>
      <c r="G22" s="13" t="n">
        <v>1</v>
      </c>
      <c r="H22" s="13" t="inlineStr"/>
    </row>
    <row r="23">
      <c r="A23" s="14" t="inlineStr">
        <is>
          <t>Waldwick</t>
        </is>
      </c>
      <c r="B23" s="14" t="inlineStr">
        <is>
          <t>07463</t>
        </is>
      </c>
      <c r="C23" s="14" t="n">
        <v>1</v>
      </c>
      <c r="D23" s="14" t="n">
        <v>0</v>
      </c>
      <c r="E23" s="14" t="n">
        <v>1</v>
      </c>
      <c r="F23" s="6">
        <f>IF(D23+E23=0,"",E23/(D23+E23))</f>
        <v/>
      </c>
      <c r="G23" s="14" t="n">
        <v>1</v>
      </c>
      <c r="H23" s="14" t="inlineStr"/>
    </row>
    <row r="24">
      <c r="A24" s="13" t="inlineStr">
        <is>
          <t>Berkeley Heights</t>
        </is>
      </c>
      <c r="B24" s="13" t="inlineStr">
        <is>
          <t>07922</t>
        </is>
      </c>
      <c r="C24" s="13" t="n">
        <v>1</v>
      </c>
      <c r="D24" s="13" t="n">
        <v>0</v>
      </c>
      <c r="E24" s="13" t="n">
        <v>1</v>
      </c>
      <c r="F24" s="11">
        <f>IF(D24+E24=0,"",E24/(D24+E24))</f>
        <v/>
      </c>
      <c r="G24" s="13" t="n">
        <v>1</v>
      </c>
      <c r="H24" s="13" t="inlineStr"/>
    </row>
    <row r="25">
      <c r="A25" s="14" t="inlineStr">
        <is>
          <t>Wood Ridge</t>
        </is>
      </c>
      <c r="B25" s="14" t="inlineStr">
        <is>
          <t>07075</t>
        </is>
      </c>
      <c r="C25" s="14" t="n">
        <v>1</v>
      </c>
      <c r="D25" s="14" t="n">
        <v>0</v>
      </c>
      <c r="E25" s="14" t="n">
        <v>1</v>
      </c>
      <c r="F25" s="6">
        <f>IF(D25+E25=0,"",E25/(D25+E25))</f>
        <v/>
      </c>
      <c r="G25" s="14" t="n">
        <v>1</v>
      </c>
      <c r="H25" s="14" t="inlineStr"/>
    </row>
    <row r="26">
      <c r="A26" s="13" t="inlineStr">
        <is>
          <t>Mountain Lakes</t>
        </is>
      </c>
      <c r="B26" s="13" t="inlineStr">
        <is>
          <t>07046</t>
        </is>
      </c>
      <c r="C26" s="13" t="n">
        <v>1</v>
      </c>
      <c r="D26" s="13" t="n">
        <v>0</v>
      </c>
      <c r="E26" s="13" t="n">
        <v>1</v>
      </c>
      <c r="F26" s="11">
        <f>IF(D26+E26=0,"",E26/(D26+E26))</f>
        <v/>
      </c>
      <c r="G26" s="13" t="n">
        <v>1</v>
      </c>
      <c r="H26" s="13" t="inlineStr"/>
    </row>
    <row r="27">
      <c r="A27" s="14" t="inlineStr">
        <is>
          <t>New York</t>
        </is>
      </c>
      <c r="B27" s="14" t="inlineStr">
        <is>
          <t>10019</t>
        </is>
      </c>
      <c r="C27" s="14" t="n">
        <v>1</v>
      </c>
      <c r="D27" s="14" t="n">
        <v>0</v>
      </c>
      <c r="E27" s="14" t="n">
        <v>1</v>
      </c>
      <c r="F27" s="6">
        <f>IF(D27+E27=0,"",E27/(D27+E27))</f>
        <v/>
      </c>
      <c r="G27" s="14" t="n">
        <v>1</v>
      </c>
      <c r="H27" s="14" t="inlineStr"/>
    </row>
    <row r="28">
      <c r="A28" s="13" t="inlineStr">
        <is>
          <t>Edison</t>
        </is>
      </c>
      <c r="B28" s="13" t="inlineStr">
        <is>
          <t>08820</t>
        </is>
      </c>
      <c r="C28" s="13" t="n">
        <v>1</v>
      </c>
      <c r="D28" s="13" t="n">
        <v>0</v>
      </c>
      <c r="E28" s="13" t="n">
        <v>1</v>
      </c>
      <c r="F28" s="11">
        <f>IF(D28+E28=0,"",E28/(D28+E28))</f>
        <v/>
      </c>
      <c r="G28" s="13" t="n">
        <v>1</v>
      </c>
      <c r="H28" s="13" t="inlineStr"/>
    </row>
    <row r="29">
      <c r="A29" s="14" t="inlineStr">
        <is>
          <t>East Rutherford</t>
        </is>
      </c>
      <c r="B29" s="14" t="inlineStr">
        <is>
          <t>07073</t>
        </is>
      </c>
      <c r="C29" s="14" t="n">
        <v>1</v>
      </c>
      <c r="D29" s="14" t="n">
        <v>0</v>
      </c>
      <c r="E29" s="14" t="n">
        <v>1</v>
      </c>
      <c r="F29" s="6">
        <f>IF(D29+E29=0,"",E29/(D29+E29))</f>
        <v/>
      </c>
      <c r="G29" s="14" t="n">
        <v>1</v>
      </c>
      <c r="H29" s="14" t="inlineStr"/>
    </row>
    <row r="30">
      <c r="A30" s="13" t="inlineStr">
        <is>
          <t>Nanuet</t>
        </is>
      </c>
      <c r="B30" s="13" t="inlineStr">
        <is>
          <t>10954</t>
        </is>
      </c>
      <c r="C30" s="13" t="n">
        <v>1</v>
      </c>
      <c r="D30" s="13" t="n">
        <v>0</v>
      </c>
      <c r="E30" s="13" t="n">
        <v>1</v>
      </c>
      <c r="F30" s="11">
        <f>IF(D30+E30=0,"",E30/(D30+E30))</f>
        <v/>
      </c>
      <c r="G30" s="13" t="n">
        <v>1</v>
      </c>
      <c r="H30" s="13" t="inlineStr">
        <is>
          <t>Yes</t>
        </is>
      </c>
    </row>
    <row r="31">
      <c r="A31" s="14" t="inlineStr">
        <is>
          <t>Hamburg</t>
        </is>
      </c>
      <c r="B31" s="14" t="inlineStr">
        <is>
          <t>07419</t>
        </is>
      </c>
      <c r="C31" s="14" t="n">
        <v>1</v>
      </c>
      <c r="D31" s="14" t="n">
        <v>0</v>
      </c>
      <c r="E31" s="14" t="n">
        <v>1</v>
      </c>
      <c r="F31" s="6">
        <f>IF(D31+E31=0,"",E31/(D31+E31))</f>
        <v/>
      </c>
      <c r="G31" s="14" t="n">
        <v>1</v>
      </c>
      <c r="H31" s="14" t="inlineStr"/>
    </row>
    <row r="32">
      <c r="A32" s="13" t="inlineStr">
        <is>
          <t>Brooklyn</t>
        </is>
      </c>
      <c r="B32" s="13" t="inlineStr">
        <is>
          <t>11217</t>
        </is>
      </c>
      <c r="C32" s="13" t="n">
        <v>1</v>
      </c>
      <c r="D32" s="13" t="n">
        <v>0</v>
      </c>
      <c r="E32" s="13" t="n">
        <v>1</v>
      </c>
      <c r="F32" s="11">
        <f>IF(D32+E32=0,"",E32/(D32+E32))</f>
        <v/>
      </c>
      <c r="G32" s="13" t="n">
        <v>1</v>
      </c>
      <c r="H32" s="13" t="inlineStr">
        <is>
          <t>Yes</t>
        </is>
      </c>
    </row>
    <row r="33">
      <c r="A33" s="14" t="inlineStr">
        <is>
          <t>North Bergen</t>
        </is>
      </c>
      <c r="B33" s="14" t="inlineStr">
        <is>
          <t>07047</t>
        </is>
      </c>
      <c r="C33" s="14" t="n">
        <v>1</v>
      </c>
      <c r="D33" s="14" t="n">
        <v>0</v>
      </c>
      <c r="E33" s="14" t="n">
        <v>1</v>
      </c>
      <c r="F33" s="6">
        <f>IF(D33+E33=0,"",E33/(D33+E33))</f>
        <v/>
      </c>
      <c r="G33" s="14" t="n">
        <v>1</v>
      </c>
      <c r="H33" s="14" t="inlineStr">
        <is>
          <t>Yes</t>
        </is>
      </c>
    </row>
    <row r="34">
      <c r="A34" s="13" t="inlineStr">
        <is>
          <t>Freehold</t>
        </is>
      </c>
      <c r="B34" s="13" t="inlineStr">
        <is>
          <t>07728</t>
        </is>
      </c>
      <c r="C34" s="13" t="n">
        <v>1</v>
      </c>
      <c r="D34" s="13" t="n">
        <v>0</v>
      </c>
      <c r="E34" s="13" t="n">
        <v>1</v>
      </c>
      <c r="F34" s="11">
        <f>IF(D34+E34=0,"",E34/(D34+E34))</f>
        <v/>
      </c>
      <c r="G34" s="13" t="n">
        <v>1</v>
      </c>
      <c r="H34" s="13" t="inlineStr">
        <is>
          <t>Yes</t>
        </is>
      </c>
    </row>
    <row r="35">
      <c r="A35" s="14" t="inlineStr">
        <is>
          <t>Totowa</t>
        </is>
      </c>
      <c r="B35" s="14" t="inlineStr">
        <is>
          <t>07512</t>
        </is>
      </c>
      <c r="C35" s="14" t="n">
        <v>1</v>
      </c>
      <c r="D35" s="14" t="n">
        <v>0</v>
      </c>
      <c r="E35" s="14" t="n">
        <v>1</v>
      </c>
      <c r="F35" s="6">
        <f>IF(D35+E35=0,"",E35/(D35+E35))</f>
        <v/>
      </c>
      <c r="G35" s="14" t="n">
        <v>1</v>
      </c>
      <c r="H35" s="14" t="inlineStr"/>
    </row>
    <row r="36">
      <c r="A36" s="13" t="inlineStr">
        <is>
          <t>Bayonne</t>
        </is>
      </c>
      <c r="B36" s="13" t="inlineStr">
        <is>
          <t>07002</t>
        </is>
      </c>
      <c r="C36" s="13" t="n">
        <v>1</v>
      </c>
      <c r="D36" s="13" t="n">
        <v>0</v>
      </c>
      <c r="E36" s="13" t="n">
        <v>1</v>
      </c>
      <c r="F36" s="11">
        <f>IF(D36+E36=0,"",E36/(D36+E36))</f>
        <v/>
      </c>
      <c r="G36" s="13" t="n">
        <v>1</v>
      </c>
      <c r="H36" s="13" t="inlineStr">
        <is>
          <t>Yes</t>
        </is>
      </c>
    </row>
    <row r="37">
      <c r="A37" s="14" t="inlineStr">
        <is>
          <t>Pompton Lakes</t>
        </is>
      </c>
      <c r="B37" s="14" t="inlineStr">
        <is>
          <t>07442</t>
        </is>
      </c>
      <c r="C37" s="14" t="n">
        <v>1</v>
      </c>
      <c r="D37" s="14" t="n">
        <v>0</v>
      </c>
      <c r="E37" s="14" t="n">
        <v>1</v>
      </c>
      <c r="F37" s="6">
        <f>IF(D37+E37=0,"",E37/(D37+E37))</f>
        <v/>
      </c>
      <c r="G37" s="14" t="n">
        <v>1</v>
      </c>
      <c r="H37" s="14" t="inlineStr"/>
    </row>
    <row r="38">
      <c r="A38" s="13" t="inlineStr">
        <is>
          <t>West Milford</t>
        </is>
      </c>
      <c r="B38" s="13" t="inlineStr">
        <is>
          <t>07480</t>
        </is>
      </c>
      <c r="C38" s="13" t="n">
        <v>1</v>
      </c>
      <c r="D38" s="13" t="n">
        <v>0</v>
      </c>
      <c r="E38" s="13" t="n">
        <v>1</v>
      </c>
      <c r="F38" s="11">
        <f>IF(D38+E38=0,"",E38/(D38+E38))</f>
        <v/>
      </c>
      <c r="G38" s="13" t="n">
        <v>1</v>
      </c>
      <c r="H38" s="13" t="inlineStr">
        <is>
          <t>Yes</t>
        </is>
      </c>
    </row>
    <row r="39">
      <c r="A39" s="14" t="inlineStr">
        <is>
          <t>Green Brook Township</t>
        </is>
      </c>
      <c r="B39" s="14" t="inlineStr">
        <is>
          <t>08812</t>
        </is>
      </c>
      <c r="C39" s="14" t="n">
        <v>1</v>
      </c>
      <c r="D39" s="14" t="n">
        <v>0</v>
      </c>
      <c r="E39" s="14" t="n">
        <v>1</v>
      </c>
      <c r="F39" s="6">
        <f>IF(D39+E39=0,"",E39/(D39+E39))</f>
        <v/>
      </c>
      <c r="G39" s="14" t="n">
        <v>1</v>
      </c>
      <c r="H39" s="14" t="inlineStr">
        <is>
          <t>Yes</t>
        </is>
      </c>
    </row>
    <row r="40">
      <c r="A40" s="13" t="inlineStr">
        <is>
          <t>Pittstown</t>
        </is>
      </c>
      <c r="B40" s="13" t="inlineStr">
        <is>
          <t>08867</t>
        </is>
      </c>
      <c r="C40" s="13" t="n">
        <v>1</v>
      </c>
      <c r="D40" s="13" t="n">
        <v>0</v>
      </c>
      <c r="E40" s="13" t="n">
        <v>1</v>
      </c>
      <c r="F40" s="11">
        <f>IF(D40+E40=0,"",E40/(D40+E40))</f>
        <v/>
      </c>
      <c r="G40" s="13" t="n">
        <v>1</v>
      </c>
      <c r="H40" s="13" t="inlineStr">
        <is>
          <t>Yes</t>
        </is>
      </c>
    </row>
    <row r="41">
      <c r="A41" s="14" t="inlineStr">
        <is>
          <t>Stewartsville</t>
        </is>
      </c>
      <c r="B41" s="14" t="inlineStr">
        <is>
          <t>08886</t>
        </is>
      </c>
      <c r="C41" s="14" t="n">
        <v>1</v>
      </c>
      <c r="D41" s="14" t="n">
        <v>0</v>
      </c>
      <c r="E41" s="14" t="n">
        <v>1</v>
      </c>
      <c r="F41" s="6">
        <f>IF(D41+E41=0,"",E41/(D41+E41))</f>
        <v/>
      </c>
      <c r="G41" s="14" t="n">
        <v>1</v>
      </c>
      <c r="H41" s="14" t="inlineStr">
        <is>
          <t>Yes</t>
        </is>
      </c>
    </row>
    <row r="42">
      <c r="A42" s="13" t="inlineStr">
        <is>
          <t>Randolph</t>
        </is>
      </c>
      <c r="B42" s="13" t="inlineStr">
        <is>
          <t>07869</t>
        </is>
      </c>
      <c r="C42" s="13" t="n">
        <v>14</v>
      </c>
      <c r="D42" s="13" t="n">
        <v>1</v>
      </c>
      <c r="E42" s="13" t="n">
        <v>13</v>
      </c>
      <c r="F42" s="11">
        <f>IF(D42+E42=0,"",E42/(D42+E42))</f>
        <v/>
      </c>
      <c r="G42" s="13" t="n">
        <v>6</v>
      </c>
      <c r="H42" s="13" t="inlineStr"/>
    </row>
    <row r="43">
      <c r="A43" s="14" t="inlineStr">
        <is>
          <t>Nutley</t>
        </is>
      </c>
      <c r="B43" s="14" t="inlineStr">
        <is>
          <t>07110</t>
        </is>
      </c>
      <c r="C43" s="14" t="n">
        <v>13</v>
      </c>
      <c r="D43" s="14" t="n">
        <v>3</v>
      </c>
      <c r="E43" s="14" t="n">
        <v>10</v>
      </c>
      <c r="F43" s="6">
        <f>IF(D43+E43=0,"",E43/(D43+E43))</f>
        <v/>
      </c>
      <c r="G43" s="14" t="n">
        <v>8</v>
      </c>
      <c r="H43" s="14" t="inlineStr"/>
    </row>
    <row r="44">
      <c r="A44" s="13" t="inlineStr">
        <is>
          <t>Short Hills</t>
        </is>
      </c>
      <c r="B44" s="13" t="inlineStr">
        <is>
          <t>07078</t>
        </is>
      </c>
      <c r="C44" s="13" t="n">
        <v>4</v>
      </c>
      <c r="D44" s="13" t="n">
        <v>1</v>
      </c>
      <c r="E44" s="13" t="n">
        <v>3</v>
      </c>
      <c r="F44" s="11">
        <f>IF(D44+E44=0,"",E44/(D44+E44))</f>
        <v/>
      </c>
      <c r="G44" s="13" t="n">
        <v>4</v>
      </c>
      <c r="H44" s="13" t="inlineStr"/>
    </row>
    <row r="45">
      <c r="A45" s="14" t="inlineStr">
        <is>
          <t>Union</t>
        </is>
      </c>
      <c r="B45" s="14" t="inlineStr">
        <is>
          <t>07083</t>
        </is>
      </c>
      <c r="C45" s="14" t="n">
        <v>4</v>
      </c>
      <c r="D45" s="14" t="n">
        <v>1</v>
      </c>
      <c r="E45" s="14" t="n">
        <v>3</v>
      </c>
      <c r="F45" s="6">
        <f>IF(D45+E45=0,"",E45/(D45+E45))</f>
        <v/>
      </c>
      <c r="G45" s="14" t="n">
        <v>4</v>
      </c>
      <c r="H45" s="14" t="inlineStr"/>
    </row>
    <row r="46">
      <c r="A46" s="13" t="inlineStr">
        <is>
          <t>Chatham</t>
        </is>
      </c>
      <c r="B46" s="13" t="inlineStr">
        <is>
          <t>07928</t>
        </is>
      </c>
      <c r="C46" s="13" t="n">
        <v>4</v>
      </c>
      <c r="D46" s="13" t="n">
        <v>1</v>
      </c>
      <c r="E46" s="13" t="n">
        <v>3</v>
      </c>
      <c r="F46" s="11">
        <f>IF(D46+E46=0,"",E46/(D46+E46))</f>
        <v/>
      </c>
      <c r="G46" s="13" t="n">
        <v>4</v>
      </c>
      <c r="H46" s="13" t="inlineStr"/>
    </row>
    <row r="47">
      <c r="A47" s="14" t="inlineStr">
        <is>
          <t>Roseland</t>
        </is>
      </c>
      <c r="B47" s="14" t="inlineStr">
        <is>
          <t>07068</t>
        </is>
      </c>
      <c r="C47" s="14" t="n">
        <v>7</v>
      </c>
      <c r="D47" s="14" t="n">
        <v>2</v>
      </c>
      <c r="E47" s="14" t="n">
        <v>5</v>
      </c>
      <c r="F47" s="6">
        <f>IF(D47+E47=0,"",E47/(D47+E47))</f>
        <v/>
      </c>
      <c r="G47" s="14" t="n">
        <v>4</v>
      </c>
      <c r="H47" s="14" t="inlineStr"/>
    </row>
    <row r="48">
      <c r="A48" s="13" t="inlineStr">
        <is>
          <t>East Orange</t>
        </is>
      </c>
      <c r="B48" s="13" t="inlineStr">
        <is>
          <t>07017</t>
        </is>
      </c>
      <c r="C48" s="13" t="n">
        <v>7</v>
      </c>
      <c r="D48" s="13" t="n">
        <v>2</v>
      </c>
      <c r="E48" s="13" t="n">
        <v>5</v>
      </c>
      <c r="F48" s="11">
        <f>IF(D48+E48=0,"",E48/(D48+E48))</f>
        <v/>
      </c>
      <c r="G48" s="13" t="n">
        <v>5</v>
      </c>
      <c r="H48" s="13" t="inlineStr"/>
    </row>
    <row r="49">
      <c r="A49" s="14" t="inlineStr">
        <is>
          <t>Clifton</t>
        </is>
      </c>
      <c r="B49" s="14" t="inlineStr">
        <is>
          <t>07013</t>
        </is>
      </c>
      <c r="C49" s="14" t="n">
        <v>35</v>
      </c>
      <c r="D49" s="14" t="n">
        <v>11</v>
      </c>
      <c r="E49" s="14" t="n">
        <v>24</v>
      </c>
      <c r="F49" s="6">
        <f>IF(D49+E49=0,"",E49/(D49+E49))</f>
        <v/>
      </c>
      <c r="G49" s="14" t="n">
        <v>11</v>
      </c>
      <c r="H49" s="14" t="inlineStr"/>
    </row>
    <row r="50">
      <c r="A50" s="13" t="inlineStr">
        <is>
          <t>North Caldwell</t>
        </is>
      </c>
      <c r="B50" s="13" t="inlineStr">
        <is>
          <t>07006</t>
        </is>
      </c>
      <c r="C50" s="13" t="n">
        <v>3</v>
      </c>
      <c r="D50" s="13" t="n">
        <v>1</v>
      </c>
      <c r="E50" s="13" t="n">
        <v>2</v>
      </c>
      <c r="F50" s="11">
        <f>IF(D50+E50=0,"",E50/(D50+E50))</f>
        <v/>
      </c>
      <c r="G50" s="13" t="n">
        <v>2</v>
      </c>
      <c r="H50" s="13" t="inlineStr"/>
    </row>
    <row r="51">
      <c r="A51" s="14" t="inlineStr">
        <is>
          <t>Los Angeles</t>
        </is>
      </c>
      <c r="B51" s="14" t="inlineStr">
        <is>
          <t>90014</t>
        </is>
      </c>
      <c r="C51" s="14" t="n">
        <v>3</v>
      </c>
      <c r="D51" s="14" t="n">
        <v>1</v>
      </c>
      <c r="E51" s="14" t="n">
        <v>2</v>
      </c>
      <c r="F51" s="6">
        <f>IF(D51+E51=0,"",E51/(D51+E51))</f>
        <v/>
      </c>
      <c r="G51" s="14" t="n">
        <v>2</v>
      </c>
      <c r="H51" s="14" t="inlineStr">
        <is>
          <t>Yes</t>
        </is>
      </c>
    </row>
    <row r="52">
      <c r="A52" s="13" t="inlineStr">
        <is>
          <t>Bloomfield</t>
        </is>
      </c>
      <c r="B52" s="13" t="inlineStr">
        <is>
          <t>07003</t>
        </is>
      </c>
      <c r="C52" s="13" t="n">
        <v>40</v>
      </c>
      <c r="D52" s="13" t="n">
        <v>16</v>
      </c>
      <c r="E52" s="13" t="n">
        <v>24</v>
      </c>
      <c r="F52" s="11">
        <f>IF(D52+E52=0,"",E52/(D52+E52))</f>
        <v/>
      </c>
      <c r="G52" s="13" t="n">
        <v>12</v>
      </c>
      <c r="H52" s="13" t="inlineStr"/>
    </row>
    <row r="53">
      <c r="A53" s="14" t="inlineStr">
        <is>
          <t>Essex Fells</t>
        </is>
      </c>
      <c r="B53" s="14" t="inlineStr">
        <is>
          <t>07021</t>
        </is>
      </c>
      <c r="C53" s="14" t="n">
        <v>5</v>
      </c>
      <c r="D53" s="14" t="n">
        <v>2</v>
      </c>
      <c r="E53" s="14" t="n">
        <v>3</v>
      </c>
      <c r="F53" s="6">
        <f>IF(D53+E53=0,"",E53/(D53+E53))</f>
        <v/>
      </c>
      <c r="G53" s="14" t="n">
        <v>3</v>
      </c>
      <c r="H53" s="14" t="inlineStr"/>
    </row>
    <row r="54">
      <c r="A54" s="13" t="inlineStr">
        <is>
          <t>Cedar Grove</t>
        </is>
      </c>
      <c r="B54" s="13" t="inlineStr">
        <is>
          <t>07009</t>
        </is>
      </c>
      <c r="C54" s="13" t="n">
        <v>14</v>
      </c>
      <c r="D54" s="13" t="n">
        <v>6</v>
      </c>
      <c r="E54" s="13" t="n">
        <v>8</v>
      </c>
      <c r="F54" s="11">
        <f>IF(D54+E54=0,"",E54/(D54+E54))</f>
        <v/>
      </c>
      <c r="G54" s="13" t="n">
        <v>8</v>
      </c>
      <c r="H54" s="13" t="inlineStr"/>
    </row>
    <row r="55">
      <c r="A55" s="14" t="inlineStr">
        <is>
          <t>Livingston</t>
        </is>
      </c>
      <c r="B55" s="14" t="inlineStr">
        <is>
          <t>07039</t>
        </is>
      </c>
      <c r="C55" s="14" t="n">
        <v>14</v>
      </c>
      <c r="D55" s="14" t="n">
        <v>6</v>
      </c>
      <c r="E55" s="14" t="n">
        <v>8</v>
      </c>
      <c r="F55" s="6">
        <f>IF(D55+E55=0,"",E55/(D55+E55))</f>
        <v/>
      </c>
      <c r="G55" s="14" t="n">
        <v>9</v>
      </c>
      <c r="H55" s="14" t="inlineStr"/>
    </row>
    <row r="56">
      <c r="A56" s="13" t="inlineStr">
        <is>
          <t>Summit</t>
        </is>
      </c>
      <c r="B56" s="13" t="inlineStr">
        <is>
          <t>07901</t>
        </is>
      </c>
      <c r="C56" s="13" t="n">
        <v>12</v>
      </c>
      <c r="D56" s="13" t="n">
        <v>6</v>
      </c>
      <c r="E56" s="13" t="n">
        <v>6</v>
      </c>
      <c r="F56" s="11">
        <f>IF(D56+E56=0,"",E56/(D56+E56))</f>
        <v/>
      </c>
      <c r="G56" s="13" t="n">
        <v>7</v>
      </c>
      <c r="H56" s="13" t="inlineStr"/>
    </row>
    <row r="57">
      <c r="A57" s="14" t="inlineStr">
        <is>
          <t>Belleville</t>
        </is>
      </c>
      <c r="B57" s="14" t="inlineStr">
        <is>
          <t>07109</t>
        </is>
      </c>
      <c r="C57" s="14" t="n">
        <v>2</v>
      </c>
      <c r="D57" s="14" t="n">
        <v>1</v>
      </c>
      <c r="E57" s="14" t="n">
        <v>1</v>
      </c>
      <c r="F57" s="6">
        <f>IF(D57+E57=0,"",E57/(D57+E57))</f>
        <v/>
      </c>
      <c r="G57" s="14" t="n">
        <v>2</v>
      </c>
      <c r="H57" s="14" t="inlineStr"/>
    </row>
    <row r="58">
      <c r="A58" s="13" t="inlineStr">
        <is>
          <t>Lyndhurst</t>
        </is>
      </c>
      <c r="B58" s="13" t="inlineStr">
        <is>
          <t>07071</t>
        </is>
      </c>
      <c r="C58" s="13" t="n">
        <v>2</v>
      </c>
      <c r="D58" s="13" t="n">
        <v>1</v>
      </c>
      <c r="E58" s="13" t="n">
        <v>1</v>
      </c>
      <c r="F58" s="11">
        <f>IF(D58+E58=0,"",E58/(D58+E58))</f>
        <v/>
      </c>
      <c r="G58" s="13" t="n">
        <v>2</v>
      </c>
      <c r="H58" s="13" t="inlineStr"/>
    </row>
    <row r="59">
      <c r="A59" s="14" t="inlineStr">
        <is>
          <t>Paterson</t>
        </is>
      </c>
      <c r="B59" s="14" t="inlineStr">
        <is>
          <t>07522</t>
        </is>
      </c>
      <c r="C59" s="14" t="n">
        <v>2</v>
      </c>
      <c r="D59" s="14" t="n">
        <v>1</v>
      </c>
      <c r="E59" s="14" t="n">
        <v>1</v>
      </c>
      <c r="F59" s="6">
        <f>IF(D59+E59=0,"",E59/(D59+E59))</f>
        <v/>
      </c>
      <c r="G59" s="14" t="n">
        <v>2</v>
      </c>
      <c r="H59" s="14" t="inlineStr"/>
    </row>
    <row r="60">
      <c r="A60" s="13" t="inlineStr">
        <is>
          <t>Pompton Plains</t>
        </is>
      </c>
      <c r="B60" s="13" t="inlineStr">
        <is>
          <t>07444</t>
        </is>
      </c>
      <c r="C60" s="13" t="n">
        <v>2</v>
      </c>
      <c r="D60" s="13" t="n">
        <v>1</v>
      </c>
      <c r="E60" s="13" t="n">
        <v>1</v>
      </c>
      <c r="F60" s="11">
        <f>IF(D60+E60=0,"",E60/(D60+E60))</f>
        <v/>
      </c>
      <c r="G60" s="13" t="n">
        <v>1</v>
      </c>
      <c r="H60" s="13" t="inlineStr"/>
    </row>
    <row r="61">
      <c r="A61" s="14" t="inlineStr">
        <is>
          <t>South Orange</t>
        </is>
      </c>
      <c r="B61" s="14" t="inlineStr">
        <is>
          <t>07079</t>
        </is>
      </c>
      <c r="C61" s="14" t="n">
        <v>23</v>
      </c>
      <c r="D61" s="14" t="n">
        <v>12</v>
      </c>
      <c r="E61" s="14" t="n">
        <v>11</v>
      </c>
      <c r="F61" s="6">
        <f>IF(D61+E61=0,"",E61/(D61+E61))</f>
        <v/>
      </c>
      <c r="G61" s="14" t="n">
        <v>9</v>
      </c>
      <c r="H61" s="14" t="inlineStr"/>
    </row>
    <row r="62">
      <c r="A62" s="13" t="inlineStr">
        <is>
          <t>West Orange</t>
        </is>
      </c>
      <c r="B62" s="13" t="inlineStr">
        <is>
          <t>07052</t>
        </is>
      </c>
      <c r="C62" s="13" t="n">
        <v>37</v>
      </c>
      <c r="D62" s="13" t="n">
        <v>20</v>
      </c>
      <c r="E62" s="13" t="n">
        <v>17</v>
      </c>
      <c r="F62" s="11">
        <f>IF(D62+E62=0,"",E62/(D62+E62))</f>
        <v/>
      </c>
      <c r="G62" s="13" t="n">
        <v>12</v>
      </c>
      <c r="H62" s="13" t="inlineStr"/>
    </row>
    <row r="63">
      <c r="A63" s="14" t="inlineStr">
        <is>
          <t>Montclair</t>
        </is>
      </c>
      <c r="B63" s="14" t="inlineStr">
        <is>
          <t>07043</t>
        </is>
      </c>
      <c r="C63" s="14" t="n">
        <v>53</v>
      </c>
      <c r="D63" s="14" t="n">
        <v>30</v>
      </c>
      <c r="E63" s="14" t="n">
        <v>23</v>
      </c>
      <c r="F63" s="6">
        <f>IF(D63+E63=0,"",E63/(D63+E63))</f>
        <v/>
      </c>
      <c r="G63" s="14" t="n">
        <v>12</v>
      </c>
      <c r="H63" s="14" t="inlineStr"/>
    </row>
    <row r="64">
      <c r="A64" s="13" t="inlineStr">
        <is>
          <t>Caldwell</t>
        </is>
      </c>
      <c r="B64" s="13" t="inlineStr">
        <is>
          <t>07006</t>
        </is>
      </c>
      <c r="C64" s="13" t="n">
        <v>14</v>
      </c>
      <c r="D64" s="13" t="n">
        <v>8</v>
      </c>
      <c r="E64" s="13" t="n">
        <v>6</v>
      </c>
      <c r="F64" s="11">
        <f>IF(D64+E64=0,"",E64/(D64+E64))</f>
        <v/>
      </c>
      <c r="G64" s="13" t="n">
        <v>8</v>
      </c>
      <c r="H64" s="13" t="inlineStr"/>
    </row>
    <row r="65">
      <c r="A65" s="14" t="inlineStr">
        <is>
          <t>Maplewood</t>
        </is>
      </c>
      <c r="B65" s="14" t="inlineStr">
        <is>
          <t>07040</t>
        </is>
      </c>
      <c r="C65" s="14" t="n">
        <v>13</v>
      </c>
      <c r="D65" s="14" t="n">
        <v>8</v>
      </c>
      <c r="E65" s="14" t="n">
        <v>5</v>
      </c>
      <c r="F65" s="6">
        <f>IF(D65+E65=0,"",E65/(D65+E65))</f>
        <v/>
      </c>
      <c r="G65" s="14" t="n">
        <v>6</v>
      </c>
      <c r="H65" s="14" t="inlineStr"/>
    </row>
    <row r="66">
      <c r="A66" s="13" t="inlineStr">
        <is>
          <t>Verona</t>
        </is>
      </c>
      <c r="B66" s="13" t="inlineStr">
        <is>
          <t>07044</t>
        </is>
      </c>
      <c r="C66" s="13" t="n">
        <v>14</v>
      </c>
      <c r="D66" s="13" t="n">
        <v>9</v>
      </c>
      <c r="E66" s="13" t="n">
        <v>5</v>
      </c>
      <c r="F66" s="11">
        <f>IF(D66+E66=0,"",E66/(D66+E66))</f>
        <v/>
      </c>
      <c r="G66" s="13" t="n">
        <v>7</v>
      </c>
      <c r="H66" s="13" t="inlineStr"/>
    </row>
    <row r="67">
      <c r="A67" s="14" t="inlineStr">
        <is>
          <t>(zip in city field)</t>
        </is>
      </c>
      <c r="B67" s="14" t="inlineStr">
        <is>
          <t>07052</t>
        </is>
      </c>
      <c r="C67" s="14" t="n">
        <v>3</v>
      </c>
      <c r="D67" s="14" t="n">
        <v>2</v>
      </c>
      <c r="E67" s="14" t="n">
        <v>1</v>
      </c>
      <c r="F67" s="6">
        <f>IF(D67+E67=0,"",E67/(D67+E67))</f>
        <v/>
      </c>
      <c r="G67" s="14" t="n">
        <v>2</v>
      </c>
      <c r="H67" s="14" t="inlineStr"/>
    </row>
    <row r="68">
      <c r="A68" s="13" t="inlineStr">
        <is>
          <t>Glen Ridge</t>
        </is>
      </c>
      <c r="B68" s="13" t="inlineStr">
        <is>
          <t>07028</t>
        </is>
      </c>
      <c r="C68" s="13" t="n">
        <v>18</v>
      </c>
      <c r="D68" s="13" t="n">
        <v>13</v>
      </c>
      <c r="E68" s="13" t="n">
        <v>5</v>
      </c>
      <c r="F68" s="11">
        <f>IF(D68+E68=0,"",E68/(D68+E68))</f>
        <v/>
      </c>
      <c r="G68" s="13" t="n">
        <v>8</v>
      </c>
      <c r="H68" s="13" t="inlineStr"/>
    </row>
    <row r="69">
      <c r="A69" s="14" t="inlineStr">
        <is>
          <t>West Caldwell</t>
        </is>
      </c>
      <c r="B69" s="14" t="inlineStr">
        <is>
          <t>07006</t>
        </is>
      </c>
      <c r="C69" s="14" t="n">
        <v>6</v>
      </c>
      <c r="D69" s="14" t="n">
        <v>5</v>
      </c>
      <c r="E69" s="14" t="n">
        <v>0</v>
      </c>
      <c r="F69" s="6">
        <f>IF(D69+E69=0,"",E69/(D69+E69))</f>
        <v/>
      </c>
      <c r="G69" s="14" t="n">
        <v>4</v>
      </c>
      <c r="H69" s="14" t="inlineStr"/>
    </row>
    <row r="70">
      <c r="A70" s="13" t="inlineStr">
        <is>
          <t>Denville</t>
        </is>
      </c>
      <c r="B70" s="13" t="inlineStr">
        <is>
          <t>07834</t>
        </is>
      </c>
      <c r="C70" s="13" t="n">
        <v>2</v>
      </c>
      <c r="D70" s="13" t="n">
        <v>2</v>
      </c>
      <c r="E70" s="13" t="n">
        <v>0</v>
      </c>
      <c r="F70" s="11">
        <f>IF(D70+E70=0,"",E70/(D70+E70))</f>
        <v/>
      </c>
      <c r="G70" s="13" t="n">
        <v>2</v>
      </c>
      <c r="H70" s="13" t="inlineStr"/>
    </row>
    <row r="71">
      <c r="A71" s="14" t="inlineStr">
        <is>
          <t>Little Falls</t>
        </is>
      </c>
      <c r="B71" s="14" t="inlineStr">
        <is>
          <t>07424</t>
        </is>
      </c>
      <c r="C71" s="14" t="n">
        <v>2</v>
      </c>
      <c r="D71" s="14" t="n">
        <v>2</v>
      </c>
      <c r="E71" s="14" t="n">
        <v>0</v>
      </c>
      <c r="F71" s="6">
        <f>IF(D71+E71=0,"",E71/(D71+E71))</f>
        <v/>
      </c>
      <c r="G71" s="14" t="n">
        <v>2</v>
      </c>
      <c r="H71" s="14" t="inlineStr"/>
    </row>
    <row r="72">
      <c r="A72" s="13" t="inlineStr">
        <is>
          <t>Forked River</t>
        </is>
      </c>
      <c r="B72" s="13" t="inlineStr">
        <is>
          <t>08731</t>
        </is>
      </c>
      <c r="C72" s="13" t="n">
        <v>1</v>
      </c>
      <c r="D72" s="13" t="n">
        <v>1</v>
      </c>
      <c r="E72" s="13" t="n">
        <v>0</v>
      </c>
      <c r="F72" s="11">
        <f>IF(D72+E72=0,"",E72/(D72+E72))</f>
        <v/>
      </c>
      <c r="G72" s="13" t="n">
        <v>1</v>
      </c>
      <c r="H72" s="13" t="inlineStr"/>
    </row>
    <row r="73">
      <c r="A73" s="14" t="inlineStr">
        <is>
          <t>Mountain View</t>
        </is>
      </c>
      <c r="B73" s="14" t="inlineStr">
        <is>
          <t>07508</t>
        </is>
      </c>
      <c r="C73" s="14" t="n">
        <v>1</v>
      </c>
      <c r="D73" s="14" t="n">
        <v>1</v>
      </c>
      <c r="E73" s="14" t="n">
        <v>0</v>
      </c>
      <c r="F73" s="6">
        <f>IF(D73+E73=0,"",E73/(D73+E73))</f>
        <v/>
      </c>
      <c r="G73" s="14" t="n">
        <v>1</v>
      </c>
      <c r="H73" s="14" t="inlineStr"/>
    </row>
    <row r="74">
      <c r="A74" s="13" t="inlineStr">
        <is>
          <t>Springfield</t>
        </is>
      </c>
      <c r="B74" s="13" t="inlineStr">
        <is>
          <t>07081</t>
        </is>
      </c>
      <c r="C74" s="13" t="n">
        <v>1</v>
      </c>
      <c r="D74" s="13" t="n">
        <v>1</v>
      </c>
      <c r="E74" s="13" t="n">
        <v>0</v>
      </c>
      <c r="F74" s="11">
        <f>IF(D74+E74=0,"",E74/(D74+E74))</f>
        <v/>
      </c>
      <c r="G74" s="13" t="n">
        <v>1</v>
      </c>
      <c r="H74" s="13" t="inlineStr"/>
    </row>
    <row r="75">
      <c r="A75" s="14" t="inlineStr">
        <is>
          <t>Kinnelon</t>
        </is>
      </c>
      <c r="B75" s="14" t="inlineStr">
        <is>
          <t>07405</t>
        </is>
      </c>
      <c r="C75" s="14" t="n">
        <v>1</v>
      </c>
      <c r="D75" s="14" t="n">
        <v>1</v>
      </c>
      <c r="E75" s="14" t="n">
        <v>0</v>
      </c>
      <c r="F75" s="6">
        <f>IF(D75+E75=0,"",E75/(D75+E75))</f>
        <v/>
      </c>
      <c r="G75" s="14" t="n">
        <v>1</v>
      </c>
      <c r="H75" s="14" t="inlineStr"/>
    </row>
    <row r="76">
      <c r="A76" s="13" t="inlineStr">
        <is>
          <t>35 Spruce Ct. Clifton</t>
        </is>
      </c>
      <c r="B76" s="13" t="inlineStr">
        <is>
          <t>07014</t>
        </is>
      </c>
      <c r="C76" s="13" t="n">
        <v>1</v>
      </c>
      <c r="D76" s="13" t="n">
        <v>1</v>
      </c>
      <c r="E76" s="13" t="n">
        <v>0</v>
      </c>
      <c r="F76" s="11">
        <f>IF(D76+E76=0,"",E76/(D76+E76))</f>
        <v/>
      </c>
      <c r="G76" s="13" t="n">
        <v>1</v>
      </c>
      <c r="H76" s="13" t="inlineStr"/>
    </row>
    <row r="77">
      <c r="A77" s="14" t="inlineStr">
        <is>
          <t>Vauxhall</t>
        </is>
      </c>
      <c r="B77" s="14" t="inlineStr">
        <is>
          <t>07088</t>
        </is>
      </c>
      <c r="C77" s="14" t="n">
        <v>1</v>
      </c>
      <c r="D77" s="14" t="n">
        <v>1</v>
      </c>
      <c r="E77" s="14" t="n">
        <v>0</v>
      </c>
      <c r="F77" s="6">
        <f>IF(D77+E77=0,"",E77/(D77+E77))</f>
        <v/>
      </c>
      <c r="G77" s="14" t="n">
        <v>1</v>
      </c>
      <c r="H77" s="14" t="inlineStr"/>
    </row>
    <row r="78">
      <c r="A78" s="13" t="inlineStr">
        <is>
          <t>Chatham Township</t>
        </is>
      </c>
      <c r="B78" s="13" t="inlineStr">
        <is>
          <t>07928</t>
        </is>
      </c>
      <c r="C78" s="13" t="n">
        <v>1</v>
      </c>
      <c r="D78" s="13" t="n">
        <v>1</v>
      </c>
      <c r="E78" s="13" t="n">
        <v>0</v>
      </c>
      <c r="F78" s="11">
        <f>IF(D78+E78=0,"",E78/(D78+E78))</f>
        <v/>
      </c>
      <c r="G78" s="13" t="n">
        <v>1</v>
      </c>
      <c r="H78" s="13" t="inlineStr"/>
    </row>
    <row r="79">
      <c r="A79" s="14" t="inlineStr">
        <is>
          <t>Passaic</t>
        </is>
      </c>
      <c r="B79" s="14" t="inlineStr">
        <is>
          <t>07055</t>
        </is>
      </c>
      <c r="C79" s="14" t="n">
        <v>1</v>
      </c>
      <c r="D79" s="14" t="n">
        <v>1</v>
      </c>
      <c r="E79" s="14" t="n">
        <v>0</v>
      </c>
      <c r="F79" s="6">
        <f>IF(D79+E79=0,"",E79/(D79+E79))</f>
        <v/>
      </c>
      <c r="G79" s="14" t="n">
        <v>1</v>
      </c>
      <c r="H79" s="14" t="inlineStr"/>
    </row>
    <row r="80">
      <c r="A80" s="13" t="inlineStr">
        <is>
          <t>Fairfield</t>
        </is>
      </c>
      <c r="B80" s="13" t="inlineStr">
        <is>
          <t>07004</t>
        </is>
      </c>
      <c r="C80" s="13" t="n">
        <v>1</v>
      </c>
      <c r="D80" s="13" t="n">
        <v>1</v>
      </c>
      <c r="E80" s="13" t="n">
        <v>0</v>
      </c>
      <c r="F80" s="11">
        <f>IF(D80+E80=0,"",E80/(D80+E80))</f>
        <v/>
      </c>
      <c r="G80" s="13" t="n">
        <v>1</v>
      </c>
      <c r="H80" s="13" t="inlineStr"/>
    </row>
    <row r="81">
      <c r="A81" s="14" t="inlineStr">
        <is>
          <t>Woodland Park</t>
        </is>
      </c>
      <c r="B81" s="14" t="inlineStr">
        <is>
          <t>07424</t>
        </is>
      </c>
      <c r="C81" s="14" t="n">
        <v>1</v>
      </c>
      <c r="D81" s="14" t="n">
        <v>1</v>
      </c>
      <c r="E81" s="14" t="n">
        <v>0</v>
      </c>
      <c r="F81" s="6">
        <f>IF(D81+E81=0,"",E81/(D81+E81))</f>
        <v/>
      </c>
      <c r="G81" s="14" t="n">
        <v>1</v>
      </c>
      <c r="H81" s="14" t="inlineStr"/>
    </row>
    <row r="82">
      <c r="A82" s="20" t="inlineStr">
        <is>
          <t>All towns</t>
        </is>
      </c>
      <c r="B82" s="20" t="n"/>
      <c r="C82" s="20">
        <f>SUM(C5:C81)</f>
        <v/>
      </c>
      <c r="D82" s="20">
        <f>SUM(D5:D81)</f>
        <v/>
      </c>
      <c r="E82" s="20">
        <f>SUM(E5:E81)</f>
        <v/>
      </c>
      <c r="F82" s="18">
        <f>E82/(D82+E82)</f>
        <v/>
      </c>
      <c r="G82" s="20" t="n"/>
      <c r="H82" s="20" t="n"/>
    </row>
    <row r="84">
      <c r="A84" s="21" t="inlineStr">
        <is>
          <t>The gradient, grouped by distance</t>
        </is>
      </c>
    </row>
    <row r="85">
      <c r="A85" s="22" t="inlineStr">
        <is>
          <t>The same 437 appointments grouped three ways. Individual towns are small samples; these groups are not.</t>
        </is>
      </c>
    </row>
    <row r="86" ht="30" customHeight="1">
      <c r="A86" s="3" t="inlineStr">
        <is>
          <t>Distance ring</t>
        </is>
      </c>
      <c r="B86" s="3" t="inlineStr">
        <is>
          <t>Towns included</t>
        </is>
      </c>
      <c r="C86" s="3" t="inlineStr">
        <is>
          <t>Consults booked</t>
        </is>
      </c>
      <c r="D86" s="3" t="inlineStr">
        <is>
          <t>Attended</t>
        </is>
      </c>
      <c r="E86" s="3" t="inlineStr">
        <is>
          <t>Cancelled</t>
        </is>
      </c>
      <c r="F86" s="3" t="inlineStr">
        <is>
          <t>Cancellation %</t>
        </is>
      </c>
      <c r="G86" s="3" t="inlineStr"/>
      <c r="H86" s="3" t="inlineStr"/>
    </row>
    <row r="87" ht="30" customHeight="1">
      <c r="A87" s="23" t="inlineStr">
        <is>
          <t>Essex County core</t>
        </is>
      </c>
      <c r="B87" s="24" t="inlineStr">
        <is>
          <t>Bloomfield, Montclair, Glen Ridge, West/South Orange, Maplewood, Livingston, Verona, Caldwell, West Caldwell, Essex Fells, Cedar Grove, Nutley, Roseland</t>
        </is>
      </c>
      <c r="C87" s="14" t="n">
        <v>271</v>
      </c>
      <c r="D87" s="14" t="n">
        <v>140</v>
      </c>
      <c r="E87" s="14" t="n">
        <v>130</v>
      </c>
      <c r="F87" s="6">
        <f>IF(D87+E87=0,"",E87/(D87+E87))</f>
        <v/>
      </c>
    </row>
    <row r="88" ht="30" customHeight="1">
      <c r="A88" s="25" t="inlineStr">
        <is>
          <t>Mid ring (in area, further out)</t>
        </is>
      </c>
      <c r="B88" s="26" t="inlineStr">
        <is>
          <t>Clifton, Randolph, Wayne, Montville, Summit, Chatham, Short Hills, Union, East Orange and the rest</t>
        </is>
      </c>
      <c r="C88" s="13" t="n">
        <v>150</v>
      </c>
      <c r="D88" s="13" t="n">
        <v>44</v>
      </c>
      <c r="E88" s="13" t="n">
        <v>106</v>
      </c>
      <c r="F88" s="11">
        <f>IF(D88+E88=0,"",E88/(D88+E88))</f>
        <v/>
      </c>
    </row>
    <row r="89" ht="30" customHeight="1">
      <c r="A89" s="23" t="inlineStr">
        <is>
          <t>Out of service area</t>
        </is>
      </c>
      <c r="B89" s="24" t="inlineStr">
        <is>
          <t>Los Angeles, Brooklyn, Nanuet, Stewartsville, Freehold, Pittstown, Hewitt, West Milford, Green Brook, Bayonne, North Bergen, Jersey City, Secaucus</t>
        </is>
      </c>
      <c r="C89" s="14" t="n">
        <v>16</v>
      </c>
      <c r="D89" s="14" t="n">
        <v>1</v>
      </c>
      <c r="E89" s="14" t="n">
        <v>15</v>
      </c>
      <c r="F89" s="6">
        <f>IF(D89+E89=0,"",E89/(D89+E89))</f>
        <v/>
      </c>
    </row>
  </sheetData>
  <autoFilter ref="A4:H81"/>
  <mergeCells count="2">
    <mergeCell ref="A2:H2"/>
    <mergeCell ref="A85:H85"/>
  </mergeCells>
  <conditionalFormatting sqref="F5:F81">
    <cfRule type="cellIs" priority="1" operator="greaterThanOrEqual" dxfId="0">
      <formula>0.75</formula>
    </cfRule>
    <cfRule type="cellIs" priority="2" operator="lessThanOrEqual" dxfId="2">
      <formula>0.34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24" customWidth="1" min="3" max="3"/>
    <col width="28" customWidth="1" min="4" max="4"/>
    <col width="16" customWidth="1" min="5" max="5"/>
    <col width="7" customWidth="1" min="6" max="6"/>
    <col width="8" customWidth="1" min="7" max="7"/>
    <col width="14" customWidth="1" min="8" max="8"/>
    <col width="14" customWidth="1" min="9" max="9"/>
    <col width="28" customWidth="1" min="10" max="10"/>
    <col width="17" customWidth="1" min="11" max="11"/>
    <col width="17" customWidth="1" min="12" max="12"/>
    <col width="17" customWidth="1" min="13" max="13"/>
    <col width="9" customWidth="1" min="14" max="14"/>
    <col width="15" customWidth="1" min="15" max="15"/>
    <col width="17" customWidth="1" min="16" max="16"/>
    <col width="58" customWidth="1" min="17" max="17"/>
    <col width="58" customWidth="1" min="18" max="18"/>
    <col width="26" customWidth="1" min="19" max="19"/>
    <col width="22" customWidth="1" min="20" max="20"/>
    <col width="12" customWidth="1" min="21" max="21"/>
    <col width="13" customWidth="1" min="22" max="22"/>
  </cols>
  <sheetData>
    <row r="1" ht="22" customHeight="1">
      <c r="A1" s="1" t="inlineStr">
        <is>
          <t>Genuine July–August cancellations — 47 real customers</t>
        </is>
      </c>
    </row>
    <row r="2" ht="30" customHeight="1">
      <c r="A2" s="2" t="inlineStr">
        <is>
          <t>Every in-home consult cancelled in July or August 2026 AFTER removing the 26 records that were never valid appointments (12 out of service area, 10 test/system records, 2 with the KTU office address on the record, 1 flagged Duplicate Booking, 1 double-booked slot). Those 26 are listed on sheet 5. IMPORTANT: the appointment free-text note was EMPTY on all 73 July–August cancellations without exception — the "Appointment note" column below is therefore blank throughout, and that is the finding, not a gap in this export. Only 3 of these 47 carry a ServiceMinder cancel reason and only 8 have a note explaining the cancellation; all such notes were written by Perceptionist, not by anyone in the office.</t>
        </is>
      </c>
    </row>
    <row r="4" ht="38" customHeight="1">
      <c r="A4" s="3" t="inlineStr">
        <is>
          <t>Appt ID</t>
        </is>
      </c>
      <c r="B4" s="3" t="inlineStr">
        <is>
          <t>Month</t>
        </is>
      </c>
      <c r="C4" s="3" t="inlineStr">
        <is>
          <t>Customer</t>
        </is>
      </c>
      <c r="D4" s="3" t="inlineStr">
        <is>
          <t>Service address</t>
        </is>
      </c>
      <c r="E4" s="3" t="inlineStr">
        <is>
          <t>City</t>
        </is>
      </c>
      <c r="F4" s="3" t="inlineStr">
        <is>
          <t>State</t>
        </is>
      </c>
      <c r="G4" s="3" t="inlineStr">
        <is>
          <t>ZIP</t>
        </is>
      </c>
      <c r="H4" s="3" t="inlineStr">
        <is>
          <t>Phone</t>
        </is>
      </c>
      <c r="I4" s="3" t="inlineStr">
        <is>
          <t>Alt phone</t>
        </is>
      </c>
      <c r="J4" s="3" t="inlineStr">
        <is>
          <t>Email</t>
        </is>
      </c>
      <c r="K4" s="3" t="inlineStr">
        <is>
          <t>Appointment date</t>
        </is>
      </c>
      <c r="L4" s="3" t="inlineStr">
        <is>
          <t>Booked</t>
        </is>
      </c>
      <c r="M4" s="3" t="inlineStr">
        <is>
          <t>Cancelled</t>
        </is>
      </c>
      <c r="N4" s="3" t="inlineStr">
        <is>
          <t>Notice
(hrs)</t>
        </is>
      </c>
      <c r="O4" s="3" t="inlineStr">
        <is>
          <t>Cancel reason
on file</t>
        </is>
      </c>
      <c r="P4" s="3" t="inlineStr">
        <is>
          <t>Appointment note</t>
        </is>
      </c>
      <c r="Q4" s="3" t="inlineStr">
        <is>
          <t>Cancellation note (from client record)</t>
        </is>
      </c>
      <c r="R4" s="3" t="inlineStr">
        <is>
          <t>Other client notes</t>
        </is>
      </c>
      <c r="S4" s="3" t="inlineStr">
        <is>
          <t>Lead source</t>
        </is>
      </c>
      <c r="T4" s="3" t="inlineStr">
        <is>
          <t>Lead source found in</t>
        </is>
      </c>
      <c r="U4" s="3" t="inlineStr">
        <is>
          <t>Repeat bookings
(Jul–Aug)</t>
        </is>
      </c>
      <c r="V4" s="3" t="inlineStr">
        <is>
          <t>Status in
ServiceMinder</t>
        </is>
      </c>
    </row>
    <row r="5" ht="15" customHeight="1">
      <c r="A5" s="14" t="n">
        <v>49782572</v>
      </c>
      <c r="B5" s="14" t="inlineStr">
        <is>
          <t>2026-07</t>
        </is>
      </c>
      <c r="C5" s="14" t="inlineStr">
        <is>
          <t>Yaghma Naibzada</t>
        </is>
      </c>
      <c r="D5" s="14" t="inlineStr">
        <is>
          <t>55 Midvale Avenue</t>
        </is>
      </c>
      <c r="E5" s="14" t="inlineStr">
        <is>
          <t>Lake Hiawatha</t>
        </is>
      </c>
      <c r="F5" s="14" t="inlineStr">
        <is>
          <t>NJ</t>
        </is>
      </c>
      <c r="G5" s="14" t="inlineStr">
        <is>
          <t>07034</t>
        </is>
      </c>
      <c r="H5" s="14" t="inlineStr">
        <is>
          <t>9737227303</t>
        </is>
      </c>
      <c r="I5" s="14" t="inlineStr"/>
      <c r="J5" s="14" t="inlineStr">
        <is>
          <t>yaghmanaibzada@gmail.com</t>
        </is>
      </c>
      <c r="K5" s="14" t="inlineStr">
        <is>
          <t>2026-07-01 10:00</t>
        </is>
      </c>
      <c r="L5" s="14" t="inlineStr">
        <is>
          <t>6/25/2026 9:16 AM</t>
        </is>
      </c>
      <c r="M5" s="14" t="inlineStr">
        <is>
          <t>6/29/2026 3:04 PM</t>
        </is>
      </c>
      <c r="N5" s="27" t="n">
        <v>42.9</v>
      </c>
      <c r="O5" s="28" t="inlineStr">
        <is>
          <t>NONE</t>
        </is>
      </c>
      <c r="P5" s="28" t="inlineStr">
        <is>
          <t>EMPTY</t>
        </is>
      </c>
      <c r="Q5" s="29" t="inlineStr"/>
      <c r="R5" s="29" t="inlineStr"/>
      <c r="S5" s="14" t="inlineStr">
        <is>
          <t>Meta (Hybrid-FB)</t>
        </is>
      </c>
      <c r="T5" s="14" t="inlineStr">
        <is>
          <t>HighLevel contact source</t>
        </is>
      </c>
      <c r="U5" s="14" t="inlineStr"/>
      <c r="V5" s="14" t="inlineStr">
        <is>
          <t>Prospect</t>
        </is>
      </c>
    </row>
    <row r="6" ht="15" customHeight="1">
      <c r="A6" s="13" t="n">
        <v>49785018</v>
      </c>
      <c r="B6" s="13" t="inlineStr">
        <is>
          <t>2026-07</t>
        </is>
      </c>
      <c r="C6" s="13" t="inlineStr">
        <is>
          <t>Chris Napierala</t>
        </is>
      </c>
      <c r="D6" s="13" t="inlineStr">
        <is>
          <t>185 Grove St</t>
        </is>
      </c>
      <c r="E6" s="13" t="inlineStr">
        <is>
          <t>Montclair</t>
        </is>
      </c>
      <c r="F6" s="13" t="inlineStr">
        <is>
          <t>NJ</t>
        </is>
      </c>
      <c r="G6" s="13" t="inlineStr">
        <is>
          <t>07042</t>
        </is>
      </c>
      <c r="H6" s="13" t="inlineStr">
        <is>
          <t>6463389926</t>
        </is>
      </c>
      <c r="I6" s="13" t="inlineStr"/>
      <c r="J6" s="13" t="inlineStr">
        <is>
          <t>chrisnapierala@yahoo.com</t>
        </is>
      </c>
      <c r="K6" s="13" t="inlineStr">
        <is>
          <t>2026-07-01 14:00</t>
        </is>
      </c>
      <c r="L6" s="13" t="inlineStr">
        <is>
          <t>6/25/2026 11:22 AM</t>
        </is>
      </c>
      <c r="M6" s="13" t="inlineStr">
        <is>
          <t>6/30/2026 4:59 PM</t>
        </is>
      </c>
      <c r="N6" s="30" t="n">
        <v>21</v>
      </c>
      <c r="O6" s="28" t="inlineStr">
        <is>
          <t>NONE</t>
        </is>
      </c>
      <c r="P6" s="28" t="inlineStr">
        <is>
          <t>EMPTY</t>
        </is>
      </c>
      <c r="Q6" s="31" t="inlineStr"/>
      <c r="R6" s="31" t="inlineStr">
        <is>
          <t>[Perceptionist Call] The lead, Chris Napier, requested a free home estimate for kitchen updates, including repainting cabinets and fixing lazy Susan corner doors. The agent scheduled the appointment for Wednesday, July 1st at 2 PM at 185 Grove Street, Montclair, NJ 07042. Chris's phone number is (646) 338-9926, and he heard about the service from a realtor friend. The agent will send a confirmation and a design style quiz via email before the appointment.</t>
        </is>
      </c>
      <c r="S6" s="13" t="inlineStr">
        <is>
          <t>kitchentuneup.com</t>
        </is>
      </c>
      <c r="T6" s="13" t="inlineStr">
        <is>
          <t>ServiceMinder campaign</t>
        </is>
      </c>
      <c r="U6" s="13" t="inlineStr"/>
      <c r="V6" s="13" t="inlineStr">
        <is>
          <t>Prospect</t>
        </is>
      </c>
    </row>
    <row r="7" ht="15" customHeight="1">
      <c r="A7" s="14" t="n">
        <v>49715092</v>
      </c>
      <c r="B7" s="14" t="inlineStr">
        <is>
          <t>2026-07</t>
        </is>
      </c>
      <c r="C7" s="14" t="inlineStr">
        <is>
          <t>Dewey Melhado</t>
        </is>
      </c>
      <c r="D7" s="14" t="inlineStr">
        <is>
          <t>287 Forest Dr</t>
        </is>
      </c>
      <c r="E7" s="14" t="inlineStr">
        <is>
          <t>Union</t>
        </is>
      </c>
      <c r="F7" s="14" t="inlineStr">
        <is>
          <t>NJ</t>
        </is>
      </c>
      <c r="G7" s="14" t="inlineStr">
        <is>
          <t>07083</t>
        </is>
      </c>
      <c r="H7" s="14" t="inlineStr">
        <is>
          <t>9739013993</t>
        </is>
      </c>
      <c r="I7" s="14" t="inlineStr"/>
      <c r="J7" s="14" t="inlineStr">
        <is>
          <t>dewey.melhado@gmail.com</t>
        </is>
      </c>
      <c r="K7" s="14" t="inlineStr">
        <is>
          <t>2026-07-01 16:00</t>
        </is>
      </c>
      <c r="L7" s="14" t="inlineStr">
        <is>
          <t>6/24/2026 12:19 PM</t>
        </is>
      </c>
      <c r="M7" s="14" t="inlineStr">
        <is>
          <t>6/30/2026 3:43 PM</t>
        </is>
      </c>
      <c r="N7" s="27" t="n">
        <v>24.3</v>
      </c>
      <c r="O7" s="28" t="inlineStr">
        <is>
          <t>NONE</t>
        </is>
      </c>
      <c r="P7" s="28" t="inlineStr">
        <is>
          <t>EMPTY</t>
        </is>
      </c>
      <c r="Q7" s="29" t="inlineStr"/>
      <c r="R7" s="29" t="inlineStr">
        <is>
          <t>[Perceptionist Call] The caller, identified as a customer interested in kitchen services, is looking to replace their kitchen sink and possibly update the countertops. The agent confirmed the customer's phone number, 973-901-3993, and noted that they were returning a missed call. The agent will forward the customer's request to the office manager for further assistance and to discuss the details of the estimate from June. The customer is currently driving and requested clarification on whether the job is too small or if it involves a full kitchen remodel.</t>
        </is>
      </c>
      <c r="S7" s="14" t="inlineStr">
        <is>
          <t>Google search</t>
        </is>
      </c>
      <c r="T7" s="14" t="inlineStr">
        <is>
          <t>ServiceMinder campaign</t>
        </is>
      </c>
      <c r="U7" s="14" t="inlineStr"/>
      <c r="V7" s="14" t="inlineStr">
        <is>
          <t>Prospect</t>
        </is>
      </c>
    </row>
    <row r="8" ht="15" customHeight="1">
      <c r="A8" s="13" t="n">
        <v>49979349</v>
      </c>
      <c r="B8" s="13" t="inlineStr">
        <is>
          <t>2026-07</t>
        </is>
      </c>
      <c r="C8" s="13" t="inlineStr">
        <is>
          <t>Gul Rizvi</t>
        </is>
      </c>
      <c r="D8" s="13" t="inlineStr">
        <is>
          <t>46 Lakeshore Drive</t>
        </is>
      </c>
      <c r="E8" s="13" t="inlineStr">
        <is>
          <t>Montville</t>
        </is>
      </c>
      <c r="F8" s="13" t="inlineStr">
        <is>
          <t>NJ</t>
        </is>
      </c>
      <c r="G8" s="13" t="inlineStr">
        <is>
          <t>07045</t>
        </is>
      </c>
      <c r="H8" s="13" t="inlineStr">
        <is>
          <t>6093063468</t>
        </is>
      </c>
      <c r="I8" s="13" t="inlineStr"/>
      <c r="J8" s="13" t="inlineStr">
        <is>
          <t>gulrazharr@gmail.com</t>
        </is>
      </c>
      <c r="K8" s="13" t="inlineStr">
        <is>
          <t>2026-07-08 10:00</t>
        </is>
      </c>
      <c r="L8" s="13" t="inlineStr">
        <is>
          <t>7/1/2026 10:06 AM</t>
        </is>
      </c>
      <c r="M8" s="13" t="inlineStr">
        <is>
          <t>7/7/2026 8:03 PM</t>
        </is>
      </c>
      <c r="N8" s="30" t="n">
        <v>13.9</v>
      </c>
      <c r="O8" s="28" t="inlineStr">
        <is>
          <t>NONE</t>
        </is>
      </c>
      <c r="P8" s="28" t="inlineStr">
        <is>
          <t>EMPTY</t>
        </is>
      </c>
      <c r="Q8" s="31" t="inlineStr"/>
      <c r="R8" s="31" t="inlineStr"/>
      <c r="S8" s="13" t="inlineStr">
        <is>
          <t>Meta (Hybrid-FB)</t>
        </is>
      </c>
      <c r="T8" s="13" t="inlineStr">
        <is>
          <t>HighLevel contact source</t>
        </is>
      </c>
      <c r="U8" s="13" t="n">
        <v>2</v>
      </c>
      <c r="V8" s="13" t="inlineStr">
        <is>
          <t>Prospect</t>
        </is>
      </c>
    </row>
    <row r="9" ht="15" customHeight="1">
      <c r="A9" s="14" t="n">
        <v>49784134</v>
      </c>
      <c r="B9" s="14" t="inlineStr">
        <is>
          <t>2026-07</t>
        </is>
      </c>
      <c r="C9" s="14" t="inlineStr">
        <is>
          <t>Roseann and Irving Martin</t>
        </is>
      </c>
      <c r="D9" s="14" t="inlineStr">
        <is>
          <t>322 Bowden Rd</t>
        </is>
      </c>
      <c r="E9" s="14" t="inlineStr">
        <is>
          <t>Cedar Grove</t>
        </is>
      </c>
      <c r="F9" s="14" t="inlineStr">
        <is>
          <t>NJ</t>
        </is>
      </c>
      <c r="G9" s="14" t="inlineStr">
        <is>
          <t>07009</t>
        </is>
      </c>
      <c r="H9" s="14" t="inlineStr">
        <is>
          <t>9738571592</t>
        </is>
      </c>
      <c r="I9" s="14" t="inlineStr"/>
      <c r="J9" s="14" t="inlineStr">
        <is>
          <t>roseannmartin@verizon.net</t>
        </is>
      </c>
      <c r="K9" s="14" t="inlineStr">
        <is>
          <t>2026-07-09 10:00</t>
        </is>
      </c>
      <c r="L9" s="14" t="inlineStr">
        <is>
          <t>6/25/2026 10:34 AM</t>
        </is>
      </c>
      <c r="M9" s="14" t="inlineStr">
        <is>
          <t>6/30/2026 5:46 PM</t>
        </is>
      </c>
      <c r="N9" s="27" t="n">
        <v>208.2</v>
      </c>
      <c r="O9" s="28" t="inlineStr">
        <is>
          <t>NONE</t>
        </is>
      </c>
      <c r="P9" s="28" t="inlineStr">
        <is>
          <t>EMPTY</t>
        </is>
      </c>
      <c r="Q9" s="29" t="inlineStr"/>
      <c r="R9" s="29" t="inlineStr">
        <is>
          <t>[Form] ....</t>
        </is>
      </c>
      <c r="S9" s="14" t="inlineStr">
        <is>
          <t>Website form</t>
        </is>
      </c>
      <c r="T9" s="14" t="inlineStr">
        <is>
          <t>ServiceMinder campaign</t>
        </is>
      </c>
      <c r="U9" s="14" t="n">
        <v>2</v>
      </c>
      <c r="V9" s="14" t="inlineStr">
        <is>
          <t>Prospect</t>
        </is>
      </c>
    </row>
    <row r="10" ht="15" customHeight="1">
      <c r="A10" s="13" t="n">
        <v>49893942</v>
      </c>
      <c r="B10" s="13" t="inlineStr">
        <is>
          <t>2026-07</t>
        </is>
      </c>
      <c r="C10" s="13" t="inlineStr">
        <is>
          <t>Donna McMonagle</t>
        </is>
      </c>
      <c r="D10" s="13" t="inlineStr">
        <is>
          <t>287 Whitford Ave</t>
        </is>
      </c>
      <c r="E10" s="13" t="inlineStr">
        <is>
          <t>Nutley</t>
        </is>
      </c>
      <c r="F10" s="13" t="inlineStr">
        <is>
          <t>NJ</t>
        </is>
      </c>
      <c r="G10" s="13" t="inlineStr">
        <is>
          <t>07110</t>
        </is>
      </c>
      <c r="H10" s="13" t="inlineStr">
        <is>
          <t>9177514805</t>
        </is>
      </c>
      <c r="I10" s="13" t="inlineStr"/>
      <c r="J10" s="13" t="inlineStr">
        <is>
          <t>donnamcmonagle@hotmail.com</t>
        </is>
      </c>
      <c r="K10" s="13" t="inlineStr">
        <is>
          <t>2026-07-09 12:00</t>
        </is>
      </c>
      <c r="L10" s="13" t="inlineStr">
        <is>
          <t>6/30/2026 12:03 PM</t>
        </is>
      </c>
      <c r="M10" s="13" t="inlineStr">
        <is>
          <t>7/8/2026 7:57 PM</t>
        </is>
      </c>
      <c r="N10" s="30" t="n">
        <v>16.1</v>
      </c>
      <c r="O10" s="28" t="inlineStr">
        <is>
          <t>NONE</t>
        </is>
      </c>
      <c r="P10" s="28" t="inlineStr">
        <is>
          <t>EMPTY</t>
        </is>
      </c>
      <c r="Q10" s="31" t="inlineStr"/>
      <c r="R10" s="31" t="inlineStr">
        <is>
          <t>[Perceptionist Call] The lead, Brandy, contacted the caller to schedule a free estimate for kitchen cabinet refinishing. The estimate is set for Thursday, July 19th at 12 PM at 287 Watford Avenue, Whitford, NJ 07110. The lead confirmed their phone number as (917) 751-4805 and provided their email as donna.mcmonaagle@hotmail.com. The agent informed the lead that both homeowners should ideally be present for the appointment, and the lead agreed to this request.</t>
        </is>
      </c>
      <c r="S10" s="13" t="inlineStr">
        <is>
          <t>kitchentuneup.com</t>
        </is>
      </c>
      <c r="T10" s="13" t="inlineStr">
        <is>
          <t>ServiceMinder campaign</t>
        </is>
      </c>
      <c r="U10" s="13" t="inlineStr"/>
      <c r="V10" s="13" t="inlineStr">
        <is>
          <t>Prospect</t>
        </is>
      </c>
    </row>
    <row r="11" ht="15" customHeight="1">
      <c r="A11" s="14" t="n">
        <v>49995084</v>
      </c>
      <c r="B11" s="14" t="inlineStr">
        <is>
          <t>2026-07</t>
        </is>
      </c>
      <c r="C11" s="14" t="inlineStr">
        <is>
          <t>Angela and Robert Burchell</t>
        </is>
      </c>
      <c r="D11" s="14" t="inlineStr">
        <is>
          <t>103 Fells Road</t>
        </is>
      </c>
      <c r="E11" s="14" t="inlineStr">
        <is>
          <t>Essex Fells</t>
        </is>
      </c>
      <c r="F11" s="14" t="inlineStr">
        <is>
          <t>NJ</t>
        </is>
      </c>
      <c r="G11" s="14" t="inlineStr">
        <is>
          <t>07021</t>
        </is>
      </c>
      <c r="H11" s="14" t="inlineStr">
        <is>
          <t>9732166595</t>
        </is>
      </c>
      <c r="I11" s="14" t="inlineStr"/>
      <c r="J11" s="14" t="inlineStr">
        <is>
          <t>agburchell@aol.com</t>
        </is>
      </c>
      <c r="K11" s="14" t="inlineStr">
        <is>
          <t>2026-07-09 14:00</t>
        </is>
      </c>
      <c r="L11" s="14" t="inlineStr">
        <is>
          <t>7/2/2026 11:52 AM</t>
        </is>
      </c>
      <c r="M11" s="14" t="inlineStr">
        <is>
          <t>7/2/2026 8:12 PM</t>
        </is>
      </c>
      <c r="N11" s="27" t="n">
        <v>161.8</v>
      </c>
      <c r="O11" s="28" t="inlineStr">
        <is>
          <t>NONE</t>
        </is>
      </c>
      <c r="P11" s="28" t="inlineStr">
        <is>
          <t>EMPTY</t>
        </is>
      </c>
      <c r="Q11" s="29" t="inlineStr"/>
      <c r="R11" s="29" t="inlineStr"/>
      <c r="S11" s="14" t="inlineStr">
        <is>
          <t>Meta (Hybrid-FB)</t>
        </is>
      </c>
      <c r="T11" s="14" t="inlineStr">
        <is>
          <t>HighLevel contact source</t>
        </is>
      </c>
      <c r="U11" s="14" t="n">
        <v>2</v>
      </c>
      <c r="V11" s="14" t="inlineStr">
        <is>
          <t>Prospect</t>
        </is>
      </c>
    </row>
    <row r="12" ht="15" customHeight="1">
      <c r="A12" s="13" t="n">
        <v>49994126</v>
      </c>
      <c r="B12" s="13" t="inlineStr">
        <is>
          <t>2026-07</t>
        </is>
      </c>
      <c r="C12" s="13" t="inlineStr">
        <is>
          <t>Branden Jones</t>
        </is>
      </c>
      <c r="D12" s="13" t="inlineStr">
        <is>
          <t>151 Irving Ave</t>
        </is>
      </c>
      <c r="E12" s="13" t="inlineStr">
        <is>
          <t>South Orange</t>
        </is>
      </c>
      <c r="F12" s="13" t="inlineStr">
        <is>
          <t>NJ</t>
        </is>
      </c>
      <c r="G12" s="13" t="inlineStr">
        <is>
          <t>07079</t>
        </is>
      </c>
      <c r="H12" s="13" t="inlineStr">
        <is>
          <t>3475780572</t>
        </is>
      </c>
      <c r="I12" s="13" t="inlineStr">
        <is>
          <t>6466101487</t>
        </is>
      </c>
      <c r="J12" s="13" t="inlineStr">
        <is>
          <t>brandenfjones@gmail.com</t>
        </is>
      </c>
      <c r="K12" s="13" t="inlineStr">
        <is>
          <t>2026-07-09 16:00</t>
        </is>
      </c>
      <c r="L12" s="13" t="inlineStr">
        <is>
          <t>7/2/2026 11:00 AM</t>
        </is>
      </c>
      <c r="M12" s="13" t="inlineStr">
        <is>
          <t>7/8/2026 5:37 PM</t>
        </is>
      </c>
      <c r="N12" s="30" t="n">
        <v>22.4</v>
      </c>
      <c r="O12" s="28" t="inlineStr">
        <is>
          <t>NONE</t>
        </is>
      </c>
      <c r="P12" s="28" t="inlineStr">
        <is>
          <t>EMPTY</t>
        </is>
      </c>
      <c r="Q12" s="31" t="inlineStr"/>
      <c r="R12" s="31" t="inlineStr">
        <is>
          <t>[Message] Date Stamp: 1614005925482 Message: Best Callback Time: 2/25/2021 at 930 am Project Description: Knob-less uppers changer the knobs on the lowers and repainting uppers and lowers.</t>
        </is>
      </c>
      <c r="S12" s="13" t="inlineStr">
        <is>
          <t>kitchentuneup.com</t>
        </is>
      </c>
      <c r="T12" s="13" t="inlineStr">
        <is>
          <t>ServiceMinder campaign</t>
        </is>
      </c>
      <c r="U12" s="13" t="inlineStr"/>
      <c r="V12" s="13" t="inlineStr">
        <is>
          <t>Prospect</t>
        </is>
      </c>
    </row>
    <row r="13" ht="15" customHeight="1">
      <c r="A13" s="14" t="n">
        <v>49550504</v>
      </c>
      <c r="B13" s="14" t="inlineStr">
        <is>
          <t>2026-07</t>
        </is>
      </c>
      <c r="C13" s="14" t="inlineStr">
        <is>
          <t>Jean  Rutter</t>
        </is>
      </c>
      <c r="D13" s="14" t="inlineStr">
        <is>
          <t>Apt 4 B</t>
        </is>
      </c>
      <c r="E13" s="14" t="inlineStr">
        <is>
          <t>South Orange Village</t>
        </is>
      </c>
      <c r="F13" s="14" t="inlineStr">
        <is>
          <t>NJ</t>
        </is>
      </c>
      <c r="G13" s="14" t="inlineStr">
        <is>
          <t>07110</t>
        </is>
      </c>
      <c r="H13" s="14" t="inlineStr">
        <is>
          <t>9088129958</t>
        </is>
      </c>
      <c r="I13" s="14" t="inlineStr">
        <is>
          <t>2018197437</t>
        </is>
      </c>
      <c r="J13" s="14" t="inlineStr">
        <is>
          <t>angela.hyndman@gmail.com</t>
        </is>
      </c>
      <c r="K13" s="14" t="inlineStr">
        <is>
          <t>2026-07-10 12:00</t>
        </is>
      </c>
      <c r="L13" s="14" t="inlineStr">
        <is>
          <t>6/19/2026 12:04 PM</t>
        </is>
      </c>
      <c r="M13" s="14" t="inlineStr">
        <is>
          <t>7/9/2026 4:24 PM</t>
        </is>
      </c>
      <c r="N13" s="27" t="n">
        <v>19.6</v>
      </c>
      <c r="O13" s="28" t="inlineStr">
        <is>
          <t>NONE</t>
        </is>
      </c>
      <c r="P13" s="28" t="inlineStr">
        <is>
          <t>EMPTY</t>
        </is>
      </c>
      <c r="Q13" s="29"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13" s="29"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13" s="14" t="inlineStr">
        <is>
          <t>Website form</t>
        </is>
      </c>
      <c r="T13" s="14" t="inlineStr">
        <is>
          <t>ServiceMinder campaign</t>
        </is>
      </c>
      <c r="U13" s="14" t="n">
        <v>3</v>
      </c>
      <c r="V13" s="14" t="inlineStr">
        <is>
          <t>Prospect</t>
        </is>
      </c>
    </row>
    <row r="14" ht="15" customHeight="1">
      <c r="A14" s="13" t="n">
        <v>49996256</v>
      </c>
      <c r="B14" s="13" t="inlineStr">
        <is>
          <t>2026-07</t>
        </is>
      </c>
      <c r="C14" s="13" t="inlineStr">
        <is>
          <t>Alex Donadio</t>
        </is>
      </c>
      <c r="D14" s="13" t="inlineStr">
        <is>
          <t>230 McCosh Rd</t>
        </is>
      </c>
      <c r="E14" s="13" t="inlineStr">
        <is>
          <t>Montclair</t>
        </is>
      </c>
      <c r="F14" s="13" t="inlineStr">
        <is>
          <t>NJ</t>
        </is>
      </c>
      <c r="G14" s="13" t="inlineStr">
        <is>
          <t>07043</t>
        </is>
      </c>
      <c r="H14" s="13" t="inlineStr">
        <is>
          <t>9736706699</t>
        </is>
      </c>
      <c r="I14" s="13" t="inlineStr"/>
      <c r="J14" s="13" t="inlineStr">
        <is>
          <t>alexandra.donadio1@gmail.com</t>
        </is>
      </c>
      <c r="K14" s="13" t="inlineStr">
        <is>
          <t>2026-07-10 14:00</t>
        </is>
      </c>
      <c r="L14" s="13" t="inlineStr">
        <is>
          <t>7/2/2026 12:52 PM</t>
        </is>
      </c>
      <c r="M14" s="13" t="inlineStr">
        <is>
          <t>7/9/2026 4:25 PM</t>
        </is>
      </c>
      <c r="N14" s="30" t="n">
        <v>21.6</v>
      </c>
      <c r="O14" s="28" t="inlineStr">
        <is>
          <t>NONE</t>
        </is>
      </c>
      <c r="P14" s="28" t="inlineStr">
        <is>
          <t>EMPTY</t>
        </is>
      </c>
      <c r="Q14" s="31" t="inlineStr"/>
      <c r="R14" s="31" t="inlineStr">
        <is>
          <t>[Perceptionist Call] The lead, Alex, requested a consultation for refinishing or refacing cabinets at their address, 230 McCosh Road, Montclair, New Jersey (technically Clifton). The agent scheduled an in-home estimate for Friday, the 10th at 2 PM. Alex's email for communication is alexandra.wh1@gmail.com. The agent advised that a team member will confirm the appointment details and send a design style quiz to complete before the estimate.</t>
        </is>
      </c>
      <c r="S14" s="13" t="inlineStr">
        <is>
          <t>Vehicle signage</t>
        </is>
      </c>
      <c r="T14" s="13" t="inlineStr">
        <is>
          <t>ServiceMinder campaign</t>
        </is>
      </c>
      <c r="U14" s="13" t="inlineStr"/>
      <c r="V14" s="13" t="inlineStr">
        <is>
          <t>Prospect</t>
        </is>
      </c>
    </row>
    <row r="15" ht="15" customHeight="1">
      <c r="A15" s="14" t="n">
        <v>49808110</v>
      </c>
      <c r="B15" s="14" t="inlineStr">
        <is>
          <t>2026-07</t>
        </is>
      </c>
      <c r="C15" s="14" t="inlineStr">
        <is>
          <t>Keisandra Griffith</t>
        </is>
      </c>
      <c r="D15" s="14" t="inlineStr">
        <is>
          <t>245 Midland Ave</t>
        </is>
      </c>
      <c r="E15" s="14" t="inlineStr">
        <is>
          <t>East Orange</t>
        </is>
      </c>
      <c r="F15" s="14" t="inlineStr">
        <is>
          <t>NJ</t>
        </is>
      </c>
      <c r="G15" s="14" t="inlineStr">
        <is>
          <t>07017</t>
        </is>
      </c>
      <c r="H15" s="14" t="inlineStr">
        <is>
          <t>7187912355</t>
        </is>
      </c>
      <c r="I15" s="14" t="inlineStr"/>
      <c r="J15" s="14" t="inlineStr">
        <is>
          <t>kgriffithrob@aol.com</t>
        </is>
      </c>
      <c r="K15" s="14" t="inlineStr">
        <is>
          <t>2026-07-11 12:00</t>
        </is>
      </c>
      <c r="L15" s="14" t="inlineStr">
        <is>
          <t>6/26/2026 6:51 PM</t>
        </is>
      </c>
      <c r="M15" s="14" t="inlineStr">
        <is>
          <t>7/13/2026 8:35 AM</t>
        </is>
      </c>
      <c r="N15" s="27" t="n">
        <v>-44.6</v>
      </c>
      <c r="O15" s="28" t="inlineStr">
        <is>
          <t>NONE</t>
        </is>
      </c>
      <c r="P15" s="28" t="inlineStr">
        <is>
          <t>EMPTY</t>
        </is>
      </c>
      <c r="Q15" s="29" t="inlineStr"/>
      <c r="R15" s="29" t="inlineStr">
        <is>
          <t>[Perceptionist Call] The lead, Anita, called to follow up on an online request for kitchen remodeling information. The lead is looking to modernize their kitchen by making minor adjustments and potentially redoing cabinets and countertops. An appointment was scheduled for Saturday, July 11th at 12 noon for a free home estimate at 245 Midland Avenue, East Orange, NJ 07017. The lead will receive a confirmation call within 24 business hours and an email with a design style quiz to complete before the appointment.</t>
        </is>
      </c>
      <c r="S15" s="14" t="inlineStr">
        <is>
          <t>kitchentuneup.com</t>
        </is>
      </c>
      <c r="T15" s="14" t="inlineStr">
        <is>
          <t>ServiceMinder campaign</t>
        </is>
      </c>
      <c r="U15" s="14" t="inlineStr"/>
      <c r="V15" s="14" t="inlineStr">
        <is>
          <t>Prospect</t>
        </is>
      </c>
    </row>
    <row r="16" ht="15" customHeight="1">
      <c r="A16" s="13" t="n">
        <v>49996439</v>
      </c>
      <c r="B16" s="13" t="inlineStr">
        <is>
          <t>2026-07</t>
        </is>
      </c>
      <c r="C16" s="13" t="inlineStr">
        <is>
          <t>Laura Haraka</t>
        </is>
      </c>
      <c r="D16" s="13" t="inlineStr">
        <is>
          <t>35 brookdale road</t>
        </is>
      </c>
      <c r="E16" s="13" t="inlineStr">
        <is>
          <t>Bloomfield</t>
        </is>
      </c>
      <c r="F16" s="13" t="inlineStr">
        <is>
          <t>NJ</t>
        </is>
      </c>
      <c r="G16" s="13" t="inlineStr">
        <is>
          <t>07003</t>
        </is>
      </c>
      <c r="H16" s="13" t="inlineStr">
        <is>
          <t>9736990218</t>
        </is>
      </c>
      <c r="I16" s="13" t="inlineStr"/>
      <c r="J16" s="13" t="inlineStr"/>
      <c r="K16" s="13" t="inlineStr">
        <is>
          <t>2026-07-15 10:00</t>
        </is>
      </c>
      <c r="L16" s="13" t="inlineStr">
        <is>
          <t>7/2/2026 1:01 PM</t>
        </is>
      </c>
      <c r="M16" s="13" t="inlineStr">
        <is>
          <t>7/14/2026 12:17 PM</t>
        </is>
      </c>
      <c r="N16" s="30" t="n">
        <v>21.7</v>
      </c>
      <c r="O16" s="28" t="inlineStr">
        <is>
          <t>NONE</t>
        </is>
      </c>
      <c r="P16" s="28" t="inlineStr">
        <is>
          <t>EMPTY</t>
        </is>
      </c>
      <c r="Q16" s="31" t="inlineStr"/>
      <c r="R16" s="31" t="inlineStr"/>
      <c r="S16" s="13" t="inlineStr">
        <is>
          <t>Unattributed (default channel)</t>
        </is>
      </c>
      <c r="T16" s="13" t="inlineStr">
        <is>
          <t>HighLevel (generic)</t>
        </is>
      </c>
      <c r="U16" s="13" t="inlineStr"/>
      <c r="V16" s="13" t="inlineStr">
        <is>
          <t>Prospect</t>
        </is>
      </c>
    </row>
    <row r="17" ht="15" customHeight="1">
      <c r="A17" s="14" t="n">
        <v>49011399</v>
      </c>
      <c r="B17" s="14" t="inlineStr">
        <is>
          <t>2026-07</t>
        </is>
      </c>
      <c r="C17" s="14" t="inlineStr">
        <is>
          <t>Lindsay Matarazzo</t>
        </is>
      </c>
      <c r="D17" s="14" t="inlineStr">
        <is>
          <t>13 Glenview Rd</t>
        </is>
      </c>
      <c r="E17" s="14" t="inlineStr">
        <is>
          <t>Caldwell</t>
        </is>
      </c>
      <c r="F17" s="14" t="inlineStr">
        <is>
          <t>NJ</t>
        </is>
      </c>
      <c r="G17" s="14" t="inlineStr">
        <is>
          <t>07006</t>
        </is>
      </c>
      <c r="H17" s="14" t="inlineStr">
        <is>
          <t>6094255207</t>
        </is>
      </c>
      <c r="I17" s="14" t="inlineStr"/>
      <c r="J17" s="14" t="inlineStr">
        <is>
          <t>lindsaylare@gmail.com</t>
        </is>
      </c>
      <c r="K17" s="14" t="inlineStr">
        <is>
          <t>2026-07-15 12:00</t>
        </is>
      </c>
      <c r="L17" s="14" t="inlineStr">
        <is>
          <t>6/12/2026 1:12 PM</t>
        </is>
      </c>
      <c r="M17" s="14" t="inlineStr">
        <is>
          <t>7/13/2026 1:01 PM</t>
        </is>
      </c>
      <c r="N17" s="27" t="n">
        <v>47</v>
      </c>
      <c r="O17" s="28" t="inlineStr">
        <is>
          <t>NONE</t>
        </is>
      </c>
      <c r="P17" s="28" t="inlineStr">
        <is>
          <t>EMPTY</t>
        </is>
      </c>
      <c r="Q17" s="29" t="inlineStr">
        <is>
          <t>[Perceptionist Call] The caller, Lyndsey, requested to cancel her appointment scheduled for Wednesday at the Glenview road address. The agent confirmed the cancellation and noted that Lyndsey is postponing the project. No rescheduling is needed at this time.</t>
        </is>
      </c>
      <c r="R17" s="29" t="inlineStr"/>
      <c r="S17" s="14" t="inlineStr">
        <is>
          <t>Google search</t>
        </is>
      </c>
      <c r="T17" s="14" t="inlineStr">
        <is>
          <t>ServiceMinder campaign</t>
        </is>
      </c>
      <c r="U17" s="14" t="inlineStr"/>
      <c r="V17" s="14" t="inlineStr">
        <is>
          <t>Prospect</t>
        </is>
      </c>
    </row>
    <row r="18" ht="15" customHeight="1">
      <c r="A18" s="13" t="n">
        <v>50152012</v>
      </c>
      <c r="B18" s="13" t="inlineStr">
        <is>
          <t>2026-07</t>
        </is>
      </c>
      <c r="C18" s="13" t="inlineStr">
        <is>
          <t>Michelle Degen</t>
        </is>
      </c>
      <c r="D18" s="13" t="inlineStr">
        <is>
          <t>69 Terrace Avenue</t>
        </is>
      </c>
      <c r="E18" s="13" t="inlineStr">
        <is>
          <t>West Orange</t>
        </is>
      </c>
      <c r="F18" s="13" t="inlineStr">
        <is>
          <t>NJ</t>
        </is>
      </c>
      <c r="G18" s="13" t="inlineStr">
        <is>
          <t>07052</t>
        </is>
      </c>
      <c r="H18" s="13" t="inlineStr">
        <is>
          <t>9736661187</t>
        </is>
      </c>
      <c r="I18" s="13" t="inlineStr"/>
      <c r="J18" s="13" t="inlineStr">
        <is>
          <t>elianadegen1@gmail.com</t>
        </is>
      </c>
      <c r="K18" s="13" t="inlineStr">
        <is>
          <t>2026-07-16 12:00</t>
        </is>
      </c>
      <c r="L18" s="13" t="inlineStr">
        <is>
          <t>7/12/2026 6:32 PM</t>
        </is>
      </c>
      <c r="M18" s="13" t="inlineStr">
        <is>
          <t>7/16/2026 11:30 AM</t>
        </is>
      </c>
      <c r="N18" s="30" t="n">
        <v>0.5</v>
      </c>
      <c r="O18" s="28" t="inlineStr">
        <is>
          <t>NONE</t>
        </is>
      </c>
      <c r="P18" s="28" t="inlineStr">
        <is>
          <t>EMPTY</t>
        </is>
      </c>
      <c r="Q18" s="31" t="inlineStr"/>
      <c r="R18" s="31" t="inlineStr"/>
      <c r="S18" s="13" t="inlineStr">
        <is>
          <t>Meta (Hybrid-FB)</t>
        </is>
      </c>
      <c r="T18" s="13" t="inlineStr">
        <is>
          <t>HighLevel contact source</t>
        </is>
      </c>
      <c r="U18" s="13" t="inlineStr"/>
      <c r="V18" s="13" t="inlineStr">
        <is>
          <t>Prospect</t>
        </is>
      </c>
    </row>
    <row r="19" ht="15" customHeight="1">
      <c r="A19" s="14" t="n">
        <v>50175182</v>
      </c>
      <c r="B19" s="14" t="inlineStr">
        <is>
          <t>2026-07</t>
        </is>
      </c>
      <c r="C19" s="14" t="inlineStr">
        <is>
          <t>Alaysia Williams</t>
        </is>
      </c>
      <c r="D19" s="14" t="inlineStr">
        <is>
          <t>146 N Sussex St</t>
        </is>
      </c>
      <c r="E19" s="14" t="inlineStr">
        <is>
          <t>Dover</t>
        </is>
      </c>
      <c r="F19" s="14" t="inlineStr">
        <is>
          <t>NJ</t>
        </is>
      </c>
      <c r="G19" s="14" t="inlineStr">
        <is>
          <t>07081</t>
        </is>
      </c>
      <c r="H19" s="14" t="inlineStr">
        <is>
          <t>5162078936</t>
        </is>
      </c>
      <c r="I19" s="14" t="inlineStr"/>
      <c r="J19" s="14" t="inlineStr">
        <is>
          <t>alaysiawilli@gmail.com</t>
        </is>
      </c>
      <c r="K19" s="14" t="inlineStr">
        <is>
          <t>2026-07-17 12:00</t>
        </is>
      </c>
      <c r="L19" s="14" t="inlineStr">
        <is>
          <t>7/14/2026 1:53 PM</t>
        </is>
      </c>
      <c r="M19" s="14" t="inlineStr">
        <is>
          <t>7/16/2026 6:56 PM</t>
        </is>
      </c>
      <c r="N19" s="27" t="n">
        <v>17.1</v>
      </c>
      <c r="O19" s="28" t="inlineStr">
        <is>
          <t>NONE</t>
        </is>
      </c>
      <c r="P19" s="28" t="inlineStr">
        <is>
          <t>EMPTY</t>
        </is>
      </c>
      <c r="Q19" s="29" t="inlineStr"/>
      <c r="R19" s="29" t="inlineStr"/>
      <c r="S19" s="14" t="inlineStr">
        <is>
          <t>Meta (Hybrid-FB)</t>
        </is>
      </c>
      <c r="T19" s="14" t="inlineStr">
        <is>
          <t>HighLevel contact source</t>
        </is>
      </c>
      <c r="U19" s="14" t="n">
        <v>2</v>
      </c>
      <c r="V19" s="14" t="inlineStr">
        <is>
          <t>Prospect</t>
        </is>
      </c>
    </row>
    <row r="20" ht="15" customHeight="1">
      <c r="A20" s="13" t="n">
        <v>50147077</v>
      </c>
      <c r="B20" s="13" t="inlineStr">
        <is>
          <t>2026-07</t>
        </is>
      </c>
      <c r="C20" s="13" t="inlineStr">
        <is>
          <t>Jackie Giordano</t>
        </is>
      </c>
      <c r="D20" s="13" t="inlineStr">
        <is>
          <t>119 Cedar St</t>
        </is>
      </c>
      <c r="E20" s="13" t="inlineStr">
        <is>
          <t>Nutley</t>
        </is>
      </c>
      <c r="F20" s="13" t="inlineStr">
        <is>
          <t>NJ</t>
        </is>
      </c>
      <c r="G20" s="13" t="inlineStr">
        <is>
          <t>07110</t>
        </is>
      </c>
      <c r="H20" s="13" t="inlineStr">
        <is>
          <t>2018893025</t>
        </is>
      </c>
      <c r="I20" s="13" t="inlineStr"/>
      <c r="J20" s="13" t="inlineStr">
        <is>
          <t>jacquelinee818@aol.com</t>
        </is>
      </c>
      <c r="K20" s="13" t="inlineStr">
        <is>
          <t>2026-07-17 16:00</t>
        </is>
      </c>
      <c r="L20" s="13" t="inlineStr">
        <is>
          <t>7/11/2026 12:04 PM</t>
        </is>
      </c>
      <c r="M20" s="13" t="inlineStr">
        <is>
          <t>7/16/2026 7:36 PM</t>
        </is>
      </c>
      <c r="N20" s="30" t="n">
        <v>20.4</v>
      </c>
      <c r="O20" s="28" t="inlineStr">
        <is>
          <t>NONE</t>
        </is>
      </c>
      <c r="P20" s="28" t="inlineStr">
        <is>
          <t>EMPTY</t>
        </is>
      </c>
      <c r="Q20" s="31" t="inlineStr"/>
      <c r="R20" s="31" t="inlineStr">
        <is>
          <t>[Perceptionist Call] No summary available. || [Perceptionist call summary (recovered from duplicate BTU record] This record's own "Perceptionist Call" note reads "No summary available." The actual summary was written to a duplicate record in the BTU organization instead. Recovered verbatim here 2026-08-25: "The caller, Jackie Giordano, scheduled an appointment for kitchen services on Friday but received text messages regarding bathroom services, causing confusion. The agent confirmed that they do provide kitchen services and assured Jackie that a service manager would follow up later in the week to confirm the appointment details. No specific addresses or actionable details were provided in this call." NOTE THE CUSTOMER-FACING SYMPTOM: she was texted about BATHROOM services after booking a KITCHEN appointment. That is the direct consequence of the duplicate BTU records below — she exists in the Bath Tune-Up org and got enrolled in BTU messaging. THIS RECORD (KTU 15647436) IS CANONICAL. Correct brand (kitchen), correct address (119 Cedar St, Nutley NJ 07110), and it holds the appointments. Duplicates in the BTU org (4761), both flagged do-not-work: - 15647447 "J CICCONE" - 119 Cedar St, KEARNY NJ 07032 (wrong city/zip, wrong name) - 15647664 "Jackie Giordano" - 119 Cedar St, Nutley NJ 07110 ServiceMinder exposes no merge or delete endpoint, and KTU/BTU are separate organizations, so the BTU rows cannot be merged into this one via API. They must be deleted by hand in the BTU UI.</t>
        </is>
      </c>
      <c r="S20" s="13" t="inlineStr">
        <is>
          <t>Google search</t>
        </is>
      </c>
      <c r="T20" s="13" t="inlineStr">
        <is>
          <t>ServiceMinder campaign</t>
        </is>
      </c>
      <c r="U20" s="13" t="n">
        <v>2</v>
      </c>
      <c r="V20" s="13" t="inlineStr">
        <is>
          <t>Prospect</t>
        </is>
      </c>
    </row>
    <row r="21" ht="15" customHeight="1">
      <c r="A21" s="14" t="n">
        <v>49900858</v>
      </c>
      <c r="B21" s="14" t="inlineStr">
        <is>
          <t>2026-07</t>
        </is>
      </c>
      <c r="C21" s="14" t="inlineStr">
        <is>
          <t>Milton Cordero</t>
        </is>
      </c>
      <c r="D21" s="14" t="inlineStr">
        <is>
          <t>214 Grove St</t>
        </is>
      </c>
      <c r="E21" s="14" t="inlineStr">
        <is>
          <t>Clifton</t>
        </is>
      </c>
      <c r="F21" s="14" t="inlineStr">
        <is>
          <t>NJ</t>
        </is>
      </c>
      <c r="G21" s="14" t="inlineStr">
        <is>
          <t>07013</t>
        </is>
      </c>
      <c r="H21" s="14" t="inlineStr">
        <is>
          <t>9734053438</t>
        </is>
      </c>
      <c r="I21" s="14" t="inlineStr"/>
      <c r="J21" s="14" t="inlineStr">
        <is>
          <t>mcmilt309@aol.com</t>
        </is>
      </c>
      <c r="K21" s="14" t="inlineStr">
        <is>
          <t>2026-07-18 10:00</t>
        </is>
      </c>
      <c r="L21" s="14" t="inlineStr">
        <is>
          <t>6/30/2026 5:35 PM</t>
        </is>
      </c>
      <c r="M21" s="14" t="inlineStr">
        <is>
          <t>7/17/2026 3:26 PM</t>
        </is>
      </c>
      <c r="N21" s="27" t="n">
        <v>18.6</v>
      </c>
      <c r="O21" s="28" t="inlineStr">
        <is>
          <t>NONE</t>
        </is>
      </c>
      <c r="P21" s="28" t="inlineStr">
        <is>
          <t>EMPTY</t>
        </is>
      </c>
      <c r="Q21" s="29" t="inlineStr"/>
      <c r="R21" s="29" t="inlineStr">
        <is>
          <t>[Perceptionist Call] No summary available.</t>
        </is>
      </c>
      <c r="S21" s="14" t="inlineStr">
        <is>
          <t>Meta - NAF Facebook Paid</t>
        </is>
      </c>
      <c r="T21" s="14" t="inlineStr">
        <is>
          <t>ServiceMinder campaign</t>
        </is>
      </c>
      <c r="U21" s="14" t="inlineStr"/>
      <c r="V21" s="14" t="inlineStr">
        <is>
          <t>Prospect</t>
        </is>
      </c>
    </row>
    <row r="22" ht="15" customHeight="1">
      <c r="A22" s="13" t="n">
        <v>50145745</v>
      </c>
      <c r="B22" s="13" t="inlineStr">
        <is>
          <t>2026-07</t>
        </is>
      </c>
      <c r="C22" s="13" t="inlineStr">
        <is>
          <t>Sasha Callegari</t>
        </is>
      </c>
      <c r="D22" s="13" t="inlineStr">
        <is>
          <t>23 Devonshire Drive</t>
        </is>
      </c>
      <c r="E22" s="13" t="inlineStr">
        <is>
          <t>Clifton</t>
        </is>
      </c>
      <c r="F22" s="13" t="inlineStr">
        <is>
          <t>NJ</t>
        </is>
      </c>
      <c r="G22" s="13" t="inlineStr">
        <is>
          <t>07013</t>
        </is>
      </c>
      <c r="H22" s="13" t="inlineStr">
        <is>
          <t>5516970994</t>
        </is>
      </c>
      <c r="I22" s="13" t="inlineStr"/>
      <c r="J22" s="13" t="inlineStr">
        <is>
          <t>swiedinger105@gmail.com</t>
        </is>
      </c>
      <c r="K22" s="13" t="inlineStr">
        <is>
          <t>2026-07-18 12:00</t>
        </is>
      </c>
      <c r="L22" s="13" t="inlineStr">
        <is>
          <t>7/10/2026 9:05 PM</t>
        </is>
      </c>
      <c r="M22" s="13" t="inlineStr">
        <is>
          <t>7/20/2026 9:26 AM</t>
        </is>
      </c>
      <c r="N22" s="30" t="n">
        <v>-45.4</v>
      </c>
      <c r="O22" s="13" t="inlineStr">
        <is>
          <t>Other</t>
        </is>
      </c>
      <c r="P22" s="28" t="inlineStr">
        <is>
          <t>EMPTY</t>
        </is>
      </c>
      <c r="Q22" s="31" t="inlineStr"/>
      <c r="R22" s="31" t="inlineStr">
        <is>
          <t>[Note from Sales Ask] Sales Ask Recording: https://app.salesask.com/meetings/6bbac52d87af70c0467d62510d22a22c09274efd40a8d91d56628f621185dd37 Sales Ask Process Adherence: 3/42 steps completed (7%) Sales Ask Notes: **Scope** - Reduce the wall by the sink to allow a continuous countertop without a break - Eliminate the wall on the other side - Install new flooring throughout the entire first floor (kitchen, living room, dining room) using plank flooring - Install new cabinets (not to the ceiling; up to the current height referenced in the call) - Install quartz countertops - Install ceramic tile backsplash - Add three rollouts - Add a double trash can pull-out Sales Ask Action Items: Action items from meeting No explicit action items Client action items No client action items || [Intranet note, Sonya] [Intranet note, Sonya] called 8/25 - client opted not to answer. Texted</t>
        </is>
      </c>
      <c r="S22" s="13" t="inlineStr">
        <is>
          <t>Meta (Hybrid-FB)</t>
        </is>
      </c>
      <c r="T22" s="13" t="inlineStr">
        <is>
          <t>HighLevel contact source</t>
        </is>
      </c>
      <c r="U22" s="13" t="inlineStr"/>
      <c r="V22" s="13" t="inlineStr">
        <is>
          <t>Prospect</t>
        </is>
      </c>
    </row>
    <row r="23" ht="15" customHeight="1">
      <c r="A23" s="14" t="n">
        <v>50311996</v>
      </c>
      <c r="B23" s="14" t="inlineStr">
        <is>
          <t>2026-07</t>
        </is>
      </c>
      <c r="C23" s="14" t="inlineStr">
        <is>
          <t>Scott  Lalonde</t>
        </is>
      </c>
      <c r="D23" s="14" t="inlineStr">
        <is>
          <t>10 Watchung Avenue</t>
        </is>
      </c>
      <c r="E23" s="14" t="inlineStr">
        <is>
          <t>Montclair</t>
        </is>
      </c>
      <c r="F23" s="14" t="inlineStr">
        <is>
          <t>NJ</t>
        </is>
      </c>
      <c r="G23" s="14" t="inlineStr">
        <is>
          <t>07043</t>
        </is>
      </c>
      <c r="H23" s="14" t="inlineStr">
        <is>
          <t>9735176120</t>
        </is>
      </c>
      <c r="I23" s="14" t="inlineStr"/>
      <c r="J23" s="14" t="inlineStr">
        <is>
          <t>sl6120@mac.com</t>
        </is>
      </c>
      <c r="K23" s="14" t="inlineStr">
        <is>
          <t>2026-07-22 12:00</t>
        </is>
      </c>
      <c r="L23" s="14" t="inlineStr">
        <is>
          <t>7/20/2026 9:16 AM</t>
        </is>
      </c>
      <c r="M23" s="14" t="inlineStr">
        <is>
          <t>7/22/2026 8:53 AM</t>
        </is>
      </c>
      <c r="N23" s="27" t="n">
        <v>3.1</v>
      </c>
      <c r="O23" s="28" t="inlineStr">
        <is>
          <t>NONE</t>
        </is>
      </c>
      <c r="P23" s="28" t="inlineStr">
        <is>
          <t>EMPTY</t>
        </is>
      </c>
      <c r="Q23" s="29" t="inlineStr"/>
      <c r="R23" s="29" t="inlineStr"/>
      <c r="S23" s="14" t="inlineStr">
        <is>
          <t>Organic search</t>
        </is>
      </c>
      <c r="T23" s="14" t="inlineStr">
        <is>
          <t>ServiceMinder campaign</t>
        </is>
      </c>
      <c r="U23" s="14" t="inlineStr"/>
      <c r="V23" s="14" t="inlineStr">
        <is>
          <t>Prospect</t>
        </is>
      </c>
    </row>
    <row r="24" ht="15" customHeight="1">
      <c r="A24" s="13" t="n">
        <v>50175110</v>
      </c>
      <c r="B24" s="13" t="inlineStr">
        <is>
          <t>2026-07</t>
        </is>
      </c>
      <c r="C24" s="13" t="inlineStr">
        <is>
          <t>Alaysia Williams</t>
        </is>
      </c>
      <c r="D24" s="13" t="inlineStr">
        <is>
          <t>146 N Sussex St</t>
        </is>
      </c>
      <c r="E24" s="13" t="inlineStr">
        <is>
          <t>Dover</t>
        </is>
      </c>
      <c r="F24" s="13" t="inlineStr">
        <is>
          <t>NJ</t>
        </is>
      </c>
      <c r="G24" s="13" t="inlineStr">
        <is>
          <t>07081</t>
        </is>
      </c>
      <c r="H24" s="13" t="inlineStr">
        <is>
          <t>5162078936</t>
        </is>
      </c>
      <c r="I24" s="13" t="inlineStr"/>
      <c r="J24" s="13" t="inlineStr">
        <is>
          <t>alaysiawilli@gmail.com</t>
        </is>
      </c>
      <c r="K24" s="13" t="inlineStr">
        <is>
          <t>2026-07-22 16:00</t>
        </is>
      </c>
      <c r="L24" s="13" t="inlineStr">
        <is>
          <t>7/14/2026 1:47 PM</t>
        </is>
      </c>
      <c r="M24" s="13" t="inlineStr">
        <is>
          <t>7/14/2026 1:53 PM</t>
        </is>
      </c>
      <c r="N24" s="30" t="n">
        <v>194.1</v>
      </c>
      <c r="O24" s="28" t="inlineStr">
        <is>
          <t>NONE</t>
        </is>
      </c>
      <c r="P24" s="28" t="inlineStr">
        <is>
          <t>EMPTY</t>
        </is>
      </c>
      <c r="Q24" s="31" t="inlineStr"/>
      <c r="R24" s="31" t="inlineStr"/>
      <c r="S24" s="13" t="inlineStr">
        <is>
          <t>Meta (Hybrid-FB)</t>
        </is>
      </c>
      <c r="T24" s="13" t="inlineStr">
        <is>
          <t>HighLevel contact source</t>
        </is>
      </c>
      <c r="U24" s="13" t="n">
        <v>2</v>
      </c>
      <c r="V24" s="13" t="inlineStr">
        <is>
          <t>Prospect</t>
        </is>
      </c>
    </row>
    <row r="25" ht="15" customHeight="1">
      <c r="A25" s="14" t="n">
        <v>50308760</v>
      </c>
      <c r="B25" s="14" t="inlineStr">
        <is>
          <t>2026-07</t>
        </is>
      </c>
      <c r="C25" s="14" t="inlineStr">
        <is>
          <t>Berk Torun</t>
        </is>
      </c>
      <c r="D25" s="14" t="inlineStr">
        <is>
          <t>133 Riverwalk Way</t>
        </is>
      </c>
      <c r="E25" s="14" t="inlineStr">
        <is>
          <t>Clifton</t>
        </is>
      </c>
      <c r="F25" s="14" t="inlineStr">
        <is>
          <t>NJ</t>
        </is>
      </c>
      <c r="G25" s="14" t="inlineStr">
        <is>
          <t>07014</t>
        </is>
      </c>
      <c r="H25" s="14" t="inlineStr">
        <is>
          <t>9175742616</t>
        </is>
      </c>
      <c r="I25" s="14" t="inlineStr"/>
      <c r="J25" s="14" t="inlineStr">
        <is>
          <t>berk-torun@hotmail.com</t>
        </is>
      </c>
      <c r="K25" s="14" t="inlineStr">
        <is>
          <t>2026-07-22 16:00</t>
        </is>
      </c>
      <c r="L25" s="14" t="inlineStr">
        <is>
          <t>7/19/2026 2:46 PM</t>
        </is>
      </c>
      <c r="M25" s="14" t="inlineStr">
        <is>
          <t>7/21/2026 8:12 PM</t>
        </is>
      </c>
      <c r="N25" s="27" t="n">
        <v>19.8</v>
      </c>
      <c r="O25" s="28" t="inlineStr">
        <is>
          <t>NONE</t>
        </is>
      </c>
      <c r="P25" s="28" t="inlineStr">
        <is>
          <t>EMPTY</t>
        </is>
      </c>
      <c r="Q25" s="29" t="inlineStr"/>
      <c r="R25" s="29" t="inlineStr">
        <is>
          <t>[Perceptionist Call] No summary available.</t>
        </is>
      </c>
      <c r="S25" s="14" t="inlineStr">
        <is>
          <t>Google search</t>
        </is>
      </c>
      <c r="T25" s="14" t="inlineStr">
        <is>
          <t>ServiceMinder campaign</t>
        </is>
      </c>
      <c r="U25" s="14" t="inlineStr"/>
      <c r="V25" s="14" t="inlineStr">
        <is>
          <t>Prospect</t>
        </is>
      </c>
    </row>
    <row r="26" ht="15" customHeight="1">
      <c r="A26" s="13" t="n">
        <v>50180173</v>
      </c>
      <c r="B26" s="13" t="inlineStr">
        <is>
          <t>2026-07</t>
        </is>
      </c>
      <c r="C26" s="13" t="inlineStr">
        <is>
          <t>Karen  Labagnara</t>
        </is>
      </c>
      <c r="D26" s="13" t="inlineStr">
        <is>
          <t>53 Yantecaw Avenue</t>
        </is>
      </c>
      <c r="E26" s="13" t="inlineStr">
        <is>
          <t>Bloomfield</t>
        </is>
      </c>
      <c r="F26" s="13" t="inlineStr">
        <is>
          <t>NJ</t>
        </is>
      </c>
      <c r="G26" s="13" t="inlineStr">
        <is>
          <t>07003</t>
        </is>
      </c>
      <c r="H26" s="13" t="inlineStr">
        <is>
          <t>8624412217</t>
        </is>
      </c>
      <c r="I26" s="13" t="inlineStr"/>
      <c r="J26" s="13" t="inlineStr">
        <is>
          <t>sammy1438@msn.com</t>
        </is>
      </c>
      <c r="K26" s="13" t="inlineStr">
        <is>
          <t>2026-07-23 12:00</t>
        </is>
      </c>
      <c r="L26" s="13" t="inlineStr">
        <is>
          <t>7/14/2026 8:03 PM</t>
        </is>
      </c>
      <c r="M26" s="13" t="inlineStr">
        <is>
          <t>7/14/2026 8:05 PM</t>
        </is>
      </c>
      <c r="N26" s="30" t="n">
        <v>207.9</v>
      </c>
      <c r="O26" s="28" t="inlineStr">
        <is>
          <t>NONE</t>
        </is>
      </c>
      <c r="P26" s="28" t="inlineStr">
        <is>
          <t>EMPTY</t>
        </is>
      </c>
      <c r="Q26" s="31" t="inlineStr"/>
      <c r="R26" s="31" t="inlineStr">
        <is>
          <t>[Form] .... || [Note from Sales Ask] Sales Ask Recording: https://app.salesask.com/meetings/T0rihXz2CZXnX19HM5WB Sales Ask Process Adherence: 3/24 steps completed (13%) Sales Ask Notes: **Client Information** - Contact: Karen **Scope** - Replace kitchen-facing window and door trim along with baseboard around kitchen - Full refacing - Reuse existing hardware (knobs and pulls) - Provide new hinges (soft close hinges) - Provide new quartz countertops - Provide ceramic tile backsplash - Provide LVP flooring (planks) **Timeline** - Proposal must be signed on June 25, 2026 (to include the stated line item) **Additional Notes** - Kitchen-facing only; doors on the other side are excluded - Window/door count not itemized because it covers everything in the kitchen-facing area Sales Ask Action Items: Action items from meeting No explicit action items Client action items No client action items</t>
        </is>
      </c>
      <c r="S26" s="13" t="inlineStr">
        <is>
          <t>Website form</t>
        </is>
      </c>
      <c r="T26" s="13" t="inlineStr">
        <is>
          <t>ServiceMinder campaign</t>
        </is>
      </c>
      <c r="U26" s="13" t="inlineStr"/>
      <c r="V26" s="13" t="inlineStr">
        <is>
          <t>Customer</t>
        </is>
      </c>
    </row>
    <row r="27" ht="15" customHeight="1">
      <c r="A27" s="14" t="n">
        <v>50053403</v>
      </c>
      <c r="B27" s="14" t="inlineStr">
        <is>
          <t>2026-07</t>
        </is>
      </c>
      <c r="C27" s="14" t="inlineStr">
        <is>
          <t>Angela and Robert Burchell</t>
        </is>
      </c>
      <c r="D27" s="14" t="inlineStr">
        <is>
          <t>103 Fells Road</t>
        </is>
      </c>
      <c r="E27" s="14" t="inlineStr">
        <is>
          <t>Essex Fells</t>
        </is>
      </c>
      <c r="F27" s="14" t="inlineStr">
        <is>
          <t>NJ</t>
        </is>
      </c>
      <c r="G27" s="14" t="inlineStr">
        <is>
          <t>07021</t>
        </is>
      </c>
      <c r="H27" s="14" t="inlineStr">
        <is>
          <t>9732166595</t>
        </is>
      </c>
      <c r="I27" s="14" t="inlineStr"/>
      <c r="J27" s="14" t="inlineStr">
        <is>
          <t>agburchell@aol.com</t>
        </is>
      </c>
      <c r="K27" s="14" t="inlineStr">
        <is>
          <t>2026-07-23 14:00</t>
        </is>
      </c>
      <c r="L27" s="14" t="inlineStr">
        <is>
          <t>7/8/2026 12:30 PM</t>
        </is>
      </c>
      <c r="M27" s="14" t="inlineStr">
        <is>
          <t>7/23/2026 10:28 AM</t>
        </is>
      </c>
      <c r="N27" s="27" t="n">
        <v>3.5</v>
      </c>
      <c r="O27" s="28" t="inlineStr">
        <is>
          <t>NONE</t>
        </is>
      </c>
      <c r="P27" s="28" t="inlineStr">
        <is>
          <t>EMPTY</t>
        </is>
      </c>
      <c r="Q27" s="29" t="inlineStr"/>
      <c r="R27" s="29" t="inlineStr"/>
      <c r="S27" s="14" t="inlineStr">
        <is>
          <t>Meta (Hybrid-FB)</t>
        </is>
      </c>
      <c r="T27" s="14" t="inlineStr">
        <is>
          <t>HighLevel contact source</t>
        </is>
      </c>
      <c r="U27" s="14" t="n">
        <v>2</v>
      </c>
      <c r="V27" s="14" t="inlineStr">
        <is>
          <t>Prospect</t>
        </is>
      </c>
    </row>
    <row r="28" ht="15" customHeight="1">
      <c r="A28" s="13" t="n">
        <v>50313049</v>
      </c>
      <c r="B28" s="13" t="inlineStr">
        <is>
          <t>2026-07</t>
        </is>
      </c>
      <c r="C28" s="13" t="inlineStr">
        <is>
          <t>Miranda Heard</t>
        </is>
      </c>
      <c r="D28" s="13" t="inlineStr">
        <is>
          <t>24 Juniper Ct</t>
        </is>
      </c>
      <c r="E28" s="13" t="inlineStr">
        <is>
          <t>Cedar Grove</t>
        </is>
      </c>
      <c r="F28" s="13" t="inlineStr">
        <is>
          <t>NJ</t>
        </is>
      </c>
      <c r="G28" s="13" t="inlineStr">
        <is>
          <t>07009</t>
        </is>
      </c>
      <c r="H28" s="13" t="inlineStr">
        <is>
          <t>4073429017</t>
        </is>
      </c>
      <c r="I28" s="13" t="inlineStr"/>
      <c r="J28" s="13" t="inlineStr">
        <is>
          <t>meh155@aol.com</t>
        </is>
      </c>
      <c r="K28" s="13" t="inlineStr">
        <is>
          <t>2026-07-23 16:00</t>
        </is>
      </c>
      <c r="L28" s="13" t="inlineStr">
        <is>
          <t>7/20/2026 9:51 AM</t>
        </is>
      </c>
      <c r="M28" s="13" t="inlineStr">
        <is>
          <t>7/23/2026 9:18 AM</t>
        </is>
      </c>
      <c r="N28" s="30" t="n">
        <v>6.7</v>
      </c>
      <c r="O28" s="28" t="inlineStr">
        <is>
          <t>NONE</t>
        </is>
      </c>
      <c r="P28" s="28" t="inlineStr">
        <is>
          <t>EMPTY</t>
        </is>
      </c>
      <c r="Q28" s="31" t="inlineStr"/>
      <c r="R28" s="31" t="inlineStr">
        <is>
          <t>[Perceptionist Call] No summary available.</t>
        </is>
      </c>
      <c r="S28" s="13" t="inlineStr">
        <is>
          <t>kitchentuneup.com</t>
        </is>
      </c>
      <c r="T28" s="13" t="inlineStr">
        <is>
          <t>ServiceMinder campaign</t>
        </is>
      </c>
      <c r="U28" s="13" t="inlineStr"/>
      <c r="V28" s="13" t="inlineStr">
        <is>
          <t>Prospect</t>
        </is>
      </c>
    </row>
    <row r="29" ht="15" customHeight="1">
      <c r="A29" s="14" t="n">
        <v>50435824</v>
      </c>
      <c r="B29" s="14" t="inlineStr">
        <is>
          <t>2026-07</t>
        </is>
      </c>
      <c r="C29" s="14" t="inlineStr">
        <is>
          <t>Maria  Curcio</t>
        </is>
      </c>
      <c r="D29" s="14" t="inlineStr">
        <is>
          <t>44 Duffus Avenue</t>
        </is>
      </c>
      <c r="E29" s="14" t="inlineStr">
        <is>
          <t>Totowa</t>
        </is>
      </c>
      <c r="F29" s="14" t="inlineStr">
        <is>
          <t>NJ</t>
        </is>
      </c>
      <c r="G29" s="14" t="inlineStr">
        <is>
          <t>07512</t>
        </is>
      </c>
      <c r="H29" s="14" t="inlineStr">
        <is>
          <t>9736268345</t>
        </is>
      </c>
      <c r="I29" s="14" t="inlineStr"/>
      <c r="J29" s="14" t="inlineStr">
        <is>
          <t>mariacurcio@icloud.com</t>
        </is>
      </c>
      <c r="K29" s="14" t="inlineStr">
        <is>
          <t>2026-07-29 14:00</t>
        </is>
      </c>
      <c r="L29" s="14" t="inlineStr">
        <is>
          <t>7/23/2026 4:50 PM</t>
        </is>
      </c>
      <c r="M29" s="14" t="inlineStr">
        <is>
          <t>7/28/2026 2:31 PM</t>
        </is>
      </c>
      <c r="N29" s="27" t="n">
        <v>23.5</v>
      </c>
      <c r="O29" s="28" t="inlineStr">
        <is>
          <t>NONE</t>
        </is>
      </c>
      <c r="P29" s="28" t="inlineStr">
        <is>
          <t>EMPTY</t>
        </is>
      </c>
      <c r="Q29" s="29" t="inlineStr"/>
      <c r="R29" s="29" t="inlineStr"/>
      <c r="S29" s="14" t="inlineStr">
        <is>
          <t>Direct traffic</t>
        </is>
      </c>
      <c r="T29" s="14" t="inlineStr">
        <is>
          <t>ServiceMinder campaign</t>
        </is>
      </c>
      <c r="U29" s="14" t="inlineStr"/>
      <c r="V29" s="14" t="inlineStr">
        <is>
          <t>Prospect</t>
        </is>
      </c>
    </row>
    <row r="30" ht="15" customHeight="1">
      <c r="A30" s="13" t="n">
        <v>50422081</v>
      </c>
      <c r="B30" s="13" t="inlineStr">
        <is>
          <t>2026-07</t>
        </is>
      </c>
      <c r="C30" s="13" t="inlineStr">
        <is>
          <t>Gul Rizvi</t>
        </is>
      </c>
      <c r="D30" s="13" t="inlineStr">
        <is>
          <t>46 Lakeshore Drive</t>
        </is>
      </c>
      <c r="E30" s="13" t="inlineStr">
        <is>
          <t>Montville</t>
        </is>
      </c>
      <c r="F30" s="13" t="inlineStr">
        <is>
          <t>NJ</t>
        </is>
      </c>
      <c r="G30" s="13" t="inlineStr">
        <is>
          <t>07045</t>
        </is>
      </c>
      <c r="H30" s="13" t="inlineStr">
        <is>
          <t>6093063468</t>
        </is>
      </c>
      <c r="I30" s="13" t="inlineStr"/>
      <c r="J30" s="13" t="inlineStr">
        <is>
          <t>gulrazharr@gmail.com</t>
        </is>
      </c>
      <c r="K30" s="13" t="inlineStr">
        <is>
          <t>2026-07-30 14:00</t>
        </is>
      </c>
      <c r="L30" s="13" t="inlineStr">
        <is>
          <t>7/22/2026 4:44 PM</t>
        </is>
      </c>
      <c r="M30" s="13" t="inlineStr">
        <is>
          <t>7/29/2026 6:24 AM</t>
        </is>
      </c>
      <c r="N30" s="30" t="n">
        <v>31.6</v>
      </c>
      <c r="O30" s="13" t="inlineStr">
        <is>
          <t>Other</t>
        </is>
      </c>
      <c r="P30" s="28" t="inlineStr">
        <is>
          <t>EMPTY</t>
        </is>
      </c>
      <c r="Q30" s="31" t="inlineStr"/>
      <c r="R30" s="31" t="inlineStr"/>
      <c r="S30" s="13" t="inlineStr">
        <is>
          <t>Meta (Hybrid-FB)</t>
        </is>
      </c>
      <c r="T30" s="13" t="inlineStr">
        <is>
          <t>HighLevel contact source</t>
        </is>
      </c>
      <c r="U30" s="13" t="n">
        <v>2</v>
      </c>
      <c r="V30" s="13" t="inlineStr">
        <is>
          <t>Prospect</t>
        </is>
      </c>
    </row>
    <row r="31" ht="15" customHeight="1">
      <c r="A31" s="14" t="n">
        <v>50440497</v>
      </c>
      <c r="B31" s="14" t="inlineStr">
        <is>
          <t>2026-07</t>
        </is>
      </c>
      <c r="C31" s="14" t="inlineStr">
        <is>
          <t>Leslie Kowal</t>
        </is>
      </c>
      <c r="D31" s="14" t="inlineStr">
        <is>
          <t>46 Leonard Ter</t>
        </is>
      </c>
      <c r="E31" s="14" t="inlineStr">
        <is>
          <t>Roseland</t>
        </is>
      </c>
      <c r="F31" s="14" t="inlineStr">
        <is>
          <t>NJ</t>
        </is>
      </c>
      <c r="G31" s="14" t="inlineStr">
        <is>
          <t>07068</t>
        </is>
      </c>
      <c r="H31" s="14" t="inlineStr">
        <is>
          <t>2013039065</t>
        </is>
      </c>
      <c r="I31" s="14" t="inlineStr"/>
      <c r="J31" s="14" t="inlineStr">
        <is>
          <t xml:space="preserve">lkowal@comcast.net </t>
        </is>
      </c>
      <c r="K31" s="14" t="inlineStr">
        <is>
          <t>2026-07-30 16:00</t>
        </is>
      </c>
      <c r="L31" s="14" t="inlineStr">
        <is>
          <t>7/24/2026 11:09 AM</t>
        </is>
      </c>
      <c r="M31" s="14" t="inlineStr">
        <is>
          <t>7/29/2026 9:31 AM</t>
        </is>
      </c>
      <c r="N31" s="27" t="n">
        <v>30.5</v>
      </c>
      <c r="O31" s="28" t="inlineStr">
        <is>
          <t>NONE</t>
        </is>
      </c>
      <c r="P31" s="28" t="inlineStr">
        <is>
          <t>EMPTY</t>
        </is>
      </c>
      <c r="Q31" s="29" t="inlineStr"/>
      <c r="R31" s="29" t="inlineStr">
        <is>
          <t>[Perceptionist Call] The caller, Leslie Kowal, scheduled a consultation for a kitchen remodel focusing on appliances and countertops at 46 Leonard Terrace, Roseland. The appointment is set for Thursday at 4 PM. Leslie's contact number is (201) 303-9065, and her email is L&lt;unk&gt;@comcast.net. The agent confirmed that the consultation is free and will include a design style quiz to help with the estimate process.</t>
        </is>
      </c>
      <c r="S31" s="14" t="inlineStr">
        <is>
          <t>Google search</t>
        </is>
      </c>
      <c r="T31" s="14" t="inlineStr">
        <is>
          <t>ServiceMinder campaign</t>
        </is>
      </c>
      <c r="U31" s="14" t="inlineStr"/>
      <c r="V31" s="14" t="inlineStr">
        <is>
          <t>Prospect</t>
        </is>
      </c>
    </row>
    <row r="32" ht="15" customHeight="1">
      <c r="A32" s="13" t="n">
        <v>50446750</v>
      </c>
      <c r="B32" s="13" t="inlineStr">
        <is>
          <t>2026-08</t>
        </is>
      </c>
      <c r="C32" s="13" t="inlineStr">
        <is>
          <t>Darlene Lowry</t>
        </is>
      </c>
      <c r="D32" s="13" t="inlineStr">
        <is>
          <t>34 Greenbrook Dr</t>
        </is>
      </c>
      <c r="E32" s="13" t="inlineStr">
        <is>
          <t>Bloomfield</t>
        </is>
      </c>
      <c r="F32" s="13" t="inlineStr">
        <is>
          <t>NJ</t>
        </is>
      </c>
      <c r="G32" s="13" t="inlineStr">
        <is>
          <t>07003</t>
        </is>
      </c>
      <c r="H32" s="13" t="inlineStr">
        <is>
          <t>2013069647</t>
        </is>
      </c>
      <c r="I32" s="13" t="inlineStr"/>
      <c r="J32" s="13" t="inlineStr">
        <is>
          <t>dlowrylpc@gmail.com</t>
        </is>
      </c>
      <c r="K32" s="13" t="inlineStr">
        <is>
          <t>2026-08-05 14:00</t>
        </is>
      </c>
      <c r="L32" s="13" t="inlineStr">
        <is>
          <t>7/24/2026 4:36 PM</t>
        </is>
      </c>
      <c r="M32" s="13" t="inlineStr">
        <is>
          <t>8/5/2026 5:35 PM</t>
        </is>
      </c>
      <c r="N32" s="30" t="n">
        <v>-3.6</v>
      </c>
      <c r="O32" s="28" t="inlineStr">
        <is>
          <t>NONE</t>
        </is>
      </c>
      <c r="P32" s="28" t="inlineStr">
        <is>
          <t>EMPTY</t>
        </is>
      </c>
      <c r="Q32" s="31" t="inlineStr"/>
      <c r="R32" s="31" t="inlineStr">
        <is>
          <t>[Perceptionist Call] The lead, Darlene, contacted Kitchen to Net for an estimate on kitchen renovations. She is interested in fixing her kitchen floor, changing the color of her countertop, and possibly painting or replacing her cabinets and backsplash. An appointment was scheduled for Wednesday, the 5th, at 2 PM at her address, 34 Greenberg Drive, Bloomfield, 07003. The agent noted a promotion for discounted services and will send an email with design style questions to better understand Darlene's preferences.</t>
        </is>
      </c>
      <c r="S32" s="13" t="inlineStr">
        <is>
          <t>kitchentuneup.com</t>
        </is>
      </c>
      <c r="T32" s="13" t="inlineStr">
        <is>
          <t>ServiceMinder campaign</t>
        </is>
      </c>
      <c r="U32" s="13" t="inlineStr"/>
      <c r="V32" s="13" t="inlineStr">
        <is>
          <t>Prospect</t>
        </is>
      </c>
    </row>
    <row r="33" ht="15" customHeight="1">
      <c r="A33" s="14" t="n">
        <v>50938965</v>
      </c>
      <c r="B33" s="14" t="inlineStr">
        <is>
          <t>2026-08</t>
        </is>
      </c>
      <c r="C33" s="14" t="inlineStr">
        <is>
          <t>Kathleen O'Rourke</t>
        </is>
      </c>
      <c r="D33" s="14" t="inlineStr">
        <is>
          <t>44 Walker Rd</t>
        </is>
      </c>
      <c r="E33" s="14" t="inlineStr">
        <is>
          <t>West Orange</t>
        </is>
      </c>
      <c r="F33" s="14" t="inlineStr">
        <is>
          <t>NJ</t>
        </is>
      </c>
      <c r="G33" s="14" t="inlineStr">
        <is>
          <t>07052</t>
        </is>
      </c>
      <c r="H33" s="14" t="inlineStr">
        <is>
          <t>3475748400</t>
        </is>
      </c>
      <c r="I33" s="14" t="inlineStr"/>
      <c r="J33" s="14" t="inlineStr">
        <is>
          <t>Kmorourke@gmail.com</t>
        </is>
      </c>
      <c r="K33" s="14" t="inlineStr">
        <is>
          <t>2026-08-05 16:00</t>
        </is>
      </c>
      <c r="L33" s="14" t="inlineStr">
        <is>
          <t>7/30/2026 6:59 PM</t>
        </is>
      </c>
      <c r="M33" s="14" t="inlineStr">
        <is>
          <t>8/5/2026 5:36 PM</t>
        </is>
      </c>
      <c r="N33" s="27" t="n">
        <v>-1.6</v>
      </c>
      <c r="O33" s="28" t="inlineStr">
        <is>
          <t>NONE</t>
        </is>
      </c>
      <c r="P33" s="28" t="inlineStr">
        <is>
          <t>EMPTY</t>
        </is>
      </c>
      <c r="Q33" s="29" t="inlineStr"/>
      <c r="R33" s="29" t="inlineStr"/>
      <c r="S33" s="14" t="inlineStr">
        <is>
          <t>Social media</t>
        </is>
      </c>
      <c r="T33" s="14" t="inlineStr">
        <is>
          <t>ServiceMinder channel only</t>
        </is>
      </c>
      <c r="U33" s="14" t="inlineStr"/>
      <c r="V33" s="14" t="inlineStr">
        <is>
          <t>Prospect</t>
        </is>
      </c>
    </row>
    <row r="34" ht="15" customHeight="1">
      <c r="A34" s="13" t="n">
        <v>50436174</v>
      </c>
      <c r="B34" s="13" t="inlineStr">
        <is>
          <t>2026-08</t>
        </is>
      </c>
      <c r="C34" s="13" t="inlineStr">
        <is>
          <t>Tania  McBee</t>
        </is>
      </c>
      <c r="D34" s="13" t="inlineStr">
        <is>
          <t>155 Garrabrant Avenue</t>
        </is>
      </c>
      <c r="E34" s="13" t="inlineStr">
        <is>
          <t>Bloomfield</t>
        </is>
      </c>
      <c r="F34" s="13" t="inlineStr">
        <is>
          <t>NJ</t>
        </is>
      </c>
      <c r="G34" s="13" t="inlineStr">
        <is>
          <t>07003</t>
        </is>
      </c>
      <c r="H34" s="13" t="inlineStr">
        <is>
          <t>2012968959</t>
        </is>
      </c>
      <c r="I34" s="13" t="inlineStr"/>
      <c r="J34" s="13" t="inlineStr">
        <is>
          <t>mcbeetania@gmail.com</t>
        </is>
      </c>
      <c r="K34" s="13" t="inlineStr">
        <is>
          <t>2026-08-06 14:00</t>
        </is>
      </c>
      <c r="L34" s="13" t="inlineStr">
        <is>
          <t>7/23/2026 5:31 PM</t>
        </is>
      </c>
      <c r="M34" s="13" t="inlineStr">
        <is>
          <t>8/5/2026 5:48 PM</t>
        </is>
      </c>
      <c r="N34" s="30" t="n">
        <v>20.2</v>
      </c>
      <c r="O34" s="28" t="inlineStr">
        <is>
          <t>NONE</t>
        </is>
      </c>
      <c r="P34" s="28" t="inlineStr">
        <is>
          <t>EMPTY</t>
        </is>
      </c>
      <c r="Q34" s="31" t="inlineStr"/>
      <c r="R34" s="31" t="inlineStr"/>
      <c r="S34" s="13" t="inlineStr">
        <is>
          <t>Social media</t>
        </is>
      </c>
      <c r="T34" s="13" t="inlineStr">
        <is>
          <t>HighLevel (generic)</t>
        </is>
      </c>
      <c r="U34" s="13" t="inlineStr"/>
      <c r="V34" s="13" t="inlineStr">
        <is>
          <t>Prospect</t>
        </is>
      </c>
    </row>
    <row r="35" ht="15" customHeight="1">
      <c r="A35" s="14" t="n">
        <v>50967574</v>
      </c>
      <c r="B35" s="14" t="inlineStr">
        <is>
          <t>2026-08</t>
        </is>
      </c>
      <c r="C35" s="14" t="inlineStr">
        <is>
          <t>Laura Stoeber</t>
        </is>
      </c>
      <c r="D35" s="14" t="inlineStr">
        <is>
          <t>70 Center Ave</t>
        </is>
      </c>
      <c r="E35" s="14" t="inlineStr">
        <is>
          <t>Chatham</t>
        </is>
      </c>
      <c r="F35" s="14" t="inlineStr">
        <is>
          <t>NJ</t>
        </is>
      </c>
      <c r="G35" s="14" t="inlineStr">
        <is>
          <t>07928</t>
        </is>
      </c>
      <c r="H35" s="14" t="inlineStr">
        <is>
          <t>9732071958</t>
        </is>
      </c>
      <c r="I35" s="14" t="inlineStr"/>
      <c r="J35" s="14" t="inlineStr">
        <is>
          <t>laura_m_marsh@yahoo.com</t>
        </is>
      </c>
      <c r="K35" s="14" t="inlineStr">
        <is>
          <t>2026-08-06 16:00</t>
        </is>
      </c>
      <c r="L35" s="14" t="inlineStr">
        <is>
          <t>8/3/2026 6:48 PM</t>
        </is>
      </c>
      <c r="M35" s="14" t="inlineStr">
        <is>
          <t>8/4/2026 4:11 PM</t>
        </is>
      </c>
      <c r="N35" s="27" t="n">
        <v>47.8</v>
      </c>
      <c r="O35" s="28" t="inlineStr">
        <is>
          <t>NONE</t>
        </is>
      </c>
      <c r="P35" s="28" t="inlineStr">
        <is>
          <t>EMPTY</t>
        </is>
      </c>
      <c r="Q35" s="29" t="inlineStr"/>
      <c r="R35" s="29" t="inlineStr">
        <is>
          <t>[Booking Details] || In their words: Built house in 2021 and wish my kitchen was in a different spot so looking to move it. Will want to keep cabinetry but would most likely get a larger island out of it and possibly need new counters. Need new hardware on cabinets. Maybe bigger light fixtures and certainly more built in storage. I’m fine w subway tile backsplash but will to look at other tiles. || Inspiration: I want my kitchen moved to other side of the room || Budget: $30,000 - $40,000 || Homeowner: Yes || Agent: Ben Yabra || Source: ROASForm</t>
        </is>
      </c>
      <c r="S35" s="14" t="inlineStr">
        <is>
          <t>ROASForm (paid-social landing form)</t>
        </is>
      </c>
      <c r="T35" s="14" t="inlineStr">
        <is>
          <t>ServiceMinder booking note</t>
        </is>
      </c>
      <c r="U35" s="14" t="inlineStr"/>
      <c r="V35" s="14" t="inlineStr">
        <is>
          <t>Prospect</t>
        </is>
      </c>
    </row>
    <row r="36" ht="15" customHeight="1">
      <c r="A36" s="13" t="n">
        <v>50797118</v>
      </c>
      <c r="B36" s="13" t="inlineStr">
        <is>
          <t>2026-08</t>
        </is>
      </c>
      <c r="C36" s="13" t="inlineStr">
        <is>
          <t>Alana Casner</t>
        </is>
      </c>
      <c r="D36" s="13" t="inlineStr">
        <is>
          <t>87 Forest Hill Road</t>
        </is>
      </c>
      <c r="E36" s="13" t="inlineStr">
        <is>
          <t>West Orange</t>
        </is>
      </c>
      <c r="F36" s="13" t="inlineStr">
        <is>
          <t>NJ</t>
        </is>
      </c>
      <c r="G36" s="13" t="inlineStr">
        <is>
          <t>07052</t>
        </is>
      </c>
      <c r="H36" s="13" t="inlineStr">
        <is>
          <t>5512657491</t>
        </is>
      </c>
      <c r="I36" s="13" t="inlineStr"/>
      <c r="J36" s="13" t="inlineStr">
        <is>
          <t>acasner@gmail.com</t>
        </is>
      </c>
      <c r="K36" s="13" t="inlineStr">
        <is>
          <t>2026-08-07 10:00</t>
        </is>
      </c>
      <c r="L36" s="13" t="inlineStr">
        <is>
          <t>7/29/2026 9:44 PM</t>
        </is>
      </c>
      <c r="M36" s="13" t="inlineStr">
        <is>
          <t>8/6/2026 4:59 PM</t>
        </is>
      </c>
      <c r="N36" s="30" t="n">
        <v>17</v>
      </c>
      <c r="O36" s="28" t="inlineStr">
        <is>
          <t>NONE</t>
        </is>
      </c>
      <c r="P36" s="28" t="inlineStr">
        <is>
          <t>EMPTY</t>
        </is>
      </c>
      <c r="Q36" s="31" t="inlineStr">
        <is>
          <t>[Perceptionist Call] The caller, Alana Casner, needs to cancel her kitchen console appointment scheduled for tomorrow at 10 AM. Her name is spelled A-L-A-N-A C-A-S-N-E-R, and her contact number is (551) 265-7491. The agent confirmed the cancellation and will notify management accordingly.</t>
        </is>
      </c>
      <c r="R36" s="31" t="inlineStr"/>
      <c r="S36" s="13" t="inlineStr">
        <is>
          <t>Social media</t>
        </is>
      </c>
      <c r="T36" s="13" t="inlineStr">
        <is>
          <t>HighLevel (generic)</t>
        </is>
      </c>
      <c r="U36" s="13" t="inlineStr"/>
      <c r="V36" s="13" t="inlineStr">
        <is>
          <t>Prospect</t>
        </is>
      </c>
    </row>
    <row r="37" ht="15" customHeight="1">
      <c r="A37" s="14" t="n">
        <v>50448323</v>
      </c>
      <c r="B37" s="14" t="inlineStr">
        <is>
          <t>2026-08</t>
        </is>
      </c>
      <c r="C37" s="14" t="inlineStr">
        <is>
          <t>Alise Strauch</t>
        </is>
      </c>
      <c r="D37" s="14" t="inlineStr">
        <is>
          <t>309 Midland Ave</t>
        </is>
      </c>
      <c r="E37" s="14" t="inlineStr">
        <is>
          <t>Pompton Lakes</t>
        </is>
      </c>
      <c r="F37" s="14" t="inlineStr">
        <is>
          <t>NJ</t>
        </is>
      </c>
      <c r="G37" s="14" t="inlineStr">
        <is>
          <t>07442</t>
        </is>
      </c>
      <c r="H37" s="14" t="inlineStr">
        <is>
          <t>2014102592</t>
        </is>
      </c>
      <c r="I37" s="14" t="inlineStr"/>
      <c r="J37" s="14" t="inlineStr">
        <is>
          <t>alise.strauch@gmail.com</t>
        </is>
      </c>
      <c r="K37" s="14" t="inlineStr">
        <is>
          <t>2026-08-07 12:00</t>
        </is>
      </c>
      <c r="L37" s="14" t="inlineStr">
        <is>
          <t>7/24/2026 6:54 PM</t>
        </is>
      </c>
      <c r="M37" s="14" t="inlineStr">
        <is>
          <t>8/6/2026 5:08 PM</t>
        </is>
      </c>
      <c r="N37" s="27" t="n">
        <v>18.9</v>
      </c>
      <c r="O37" s="28" t="inlineStr">
        <is>
          <t>NONE</t>
        </is>
      </c>
      <c r="P37" s="28" t="inlineStr">
        <is>
          <t>EMPTY</t>
        </is>
      </c>
      <c r="Q37" s="29" t="inlineStr"/>
      <c r="R37" s="29" t="inlineStr">
        <is>
          <t>[Perceptionist Call] The caller, Alise Stretch, scheduled an estimate for cabinet drawer installation at 309 Midland Avenue, Pumpkin Lakes, NJ 07442. She is looking to add 8 to 12 drawers and a lazy Susan to her existing cabinetry. The appointment is set for Wednesday, the 7th, at 12 PM. Alise's email for the proposal is alise.stretch@gmail.com, and her phone number is (201) 410-2592.</t>
        </is>
      </c>
      <c r="S37" s="14" t="inlineStr">
        <is>
          <t>kitchentuneup.com</t>
        </is>
      </c>
      <c r="T37" s="14" t="inlineStr">
        <is>
          <t>ServiceMinder campaign</t>
        </is>
      </c>
      <c r="U37" s="14" t="inlineStr"/>
      <c r="V37" s="14" t="inlineStr">
        <is>
          <t>Prospect</t>
        </is>
      </c>
    </row>
    <row r="38" ht="15" customHeight="1">
      <c r="A38" s="13" t="n">
        <v>50711409</v>
      </c>
      <c r="B38" s="13" t="inlineStr">
        <is>
          <t>2026-08</t>
        </is>
      </c>
      <c r="C38" s="13" t="inlineStr">
        <is>
          <t>Avnika Mistry</t>
        </is>
      </c>
      <c r="D38" s="13" t="inlineStr">
        <is>
          <t>851 Tabor Rd</t>
        </is>
      </c>
      <c r="E38" s="13" t="inlineStr">
        <is>
          <t>Morris Plains</t>
        </is>
      </c>
      <c r="F38" s="13" t="inlineStr">
        <is>
          <t>NJ</t>
        </is>
      </c>
      <c r="G38" s="13" t="inlineStr">
        <is>
          <t>07950</t>
        </is>
      </c>
      <c r="H38" s="13" t="inlineStr">
        <is>
          <t>9734626504</t>
        </is>
      </c>
      <c r="I38" s="13" t="inlineStr"/>
      <c r="J38" s="13" t="inlineStr">
        <is>
          <t>avnikamistry@gmail.com</t>
        </is>
      </c>
      <c r="K38" s="13" t="inlineStr">
        <is>
          <t>2026-08-07 14:00</t>
        </is>
      </c>
      <c r="L38" s="13" t="inlineStr">
        <is>
          <t>7/28/2026 6:24 PM</t>
        </is>
      </c>
      <c r="M38" s="13" t="inlineStr">
        <is>
          <t>8/6/2026 5:14 PM</t>
        </is>
      </c>
      <c r="N38" s="30" t="n">
        <v>20.8</v>
      </c>
      <c r="O38" s="28" t="inlineStr">
        <is>
          <t>NONE</t>
        </is>
      </c>
      <c r="P38" s="28" t="inlineStr">
        <is>
          <t>EMPTY</t>
        </is>
      </c>
      <c r="Q38" s="31" t="inlineStr"/>
      <c r="R38" s="31" t="inlineStr">
        <is>
          <t>[untitled] removing old cabinets, new cabinetry and countertops, tile backsplash and modern lighting, also need to break the wall for an open concept kitchen</t>
        </is>
      </c>
      <c r="S38" s="13" t="inlineStr">
        <is>
          <t>Unattributed (Online only)</t>
        </is>
      </c>
      <c r="T38" s="13" t="inlineStr">
        <is>
          <t>ServiceMinder channel only</t>
        </is>
      </c>
      <c r="U38" s="13" t="inlineStr"/>
      <c r="V38" s="13" t="inlineStr">
        <is>
          <t>Prospect</t>
        </is>
      </c>
    </row>
    <row r="39" ht="15" customHeight="1">
      <c r="A39" s="14" t="n">
        <v>50938767</v>
      </c>
      <c r="B39" s="14" t="inlineStr">
        <is>
          <t>2026-08</t>
        </is>
      </c>
      <c r="C39" s="14" t="inlineStr">
        <is>
          <t>Linda Grossman</t>
        </is>
      </c>
      <c r="D39" s="14" t="inlineStr">
        <is>
          <t>410 prospect st</t>
        </is>
      </c>
      <c r="E39" s="14" t="inlineStr">
        <is>
          <t>Nutley</t>
        </is>
      </c>
      <c r="F39" s="14" t="inlineStr">
        <is>
          <t>NJ</t>
        </is>
      </c>
      <c r="G39" s="14" t="inlineStr">
        <is>
          <t>07110</t>
        </is>
      </c>
      <c r="H39" s="14" t="inlineStr">
        <is>
          <t>9738189926</t>
        </is>
      </c>
      <c r="I39" s="14" t="inlineStr"/>
      <c r="J39" s="14" t="inlineStr">
        <is>
          <t>lrg104@aol.com</t>
        </is>
      </c>
      <c r="K39" s="14" t="inlineStr">
        <is>
          <t>2026-08-12 10:00</t>
        </is>
      </c>
      <c r="L39" s="14" t="inlineStr">
        <is>
          <t>7/30/2026 6:34 PM</t>
        </is>
      </c>
      <c r="M39" s="14" t="inlineStr">
        <is>
          <t>8/11/2026 2:08 PM</t>
        </is>
      </c>
      <c r="N39" s="27" t="n">
        <v>19.9</v>
      </c>
      <c r="O39" s="28" t="inlineStr">
        <is>
          <t>NONE</t>
        </is>
      </c>
      <c r="P39" s="28" t="inlineStr">
        <is>
          <t>EMPTY</t>
        </is>
      </c>
      <c r="Q39" s="29" t="inlineStr">
        <is>
          <t>[Perceptionist Call] The caller requested to reschedule a follow-up call regarding information from Kitchen Tune-Up due to being unavailable at the moment. The agent provided the callback number: 973-346-9262, and confirmed that any representative can assist. The caller can reach out anytime after 4 PM, as the scheduling office is available 24/7.</t>
        </is>
      </c>
      <c r="R39" s="29" t="inlineStr"/>
      <c r="S39" s="14" t="inlineStr">
        <is>
          <t>kitchentuneup.com</t>
        </is>
      </c>
      <c r="T39" s="14" t="inlineStr">
        <is>
          <t>ServiceMinder campaign</t>
        </is>
      </c>
      <c r="U39" s="14" t="inlineStr"/>
      <c r="V39" s="14" t="inlineStr">
        <is>
          <t>Prospect</t>
        </is>
      </c>
    </row>
    <row r="40" ht="15" customHeight="1">
      <c r="A40" s="13" t="n">
        <v>50958365</v>
      </c>
      <c r="B40" s="13" t="inlineStr">
        <is>
          <t>2026-08</t>
        </is>
      </c>
      <c r="C40" s="13" t="inlineStr">
        <is>
          <t>Jean  Rutter</t>
        </is>
      </c>
      <c r="D40" s="13" t="inlineStr">
        <is>
          <t>Apt 4 B</t>
        </is>
      </c>
      <c r="E40" s="13" t="inlineStr">
        <is>
          <t>South Orange Village</t>
        </is>
      </c>
      <c r="F40" s="13" t="inlineStr">
        <is>
          <t>NJ</t>
        </is>
      </c>
      <c r="G40" s="13" t="inlineStr">
        <is>
          <t>07110</t>
        </is>
      </c>
      <c r="H40" s="13" t="inlineStr">
        <is>
          <t>9088129958</t>
        </is>
      </c>
      <c r="I40" s="13" t="inlineStr">
        <is>
          <t>2018197437</t>
        </is>
      </c>
      <c r="J40" s="13" t="inlineStr">
        <is>
          <t>angela.hyndman@gmail.com</t>
        </is>
      </c>
      <c r="K40" s="13" t="inlineStr">
        <is>
          <t>2026-08-12 12:00</t>
        </is>
      </c>
      <c r="L40" s="13" t="inlineStr">
        <is>
          <t>8/3/2026 10:00 AM</t>
        </is>
      </c>
      <c r="M40" s="13" t="inlineStr">
        <is>
          <t>8/4/2026 12:38 PM</t>
        </is>
      </c>
      <c r="N40" s="30" t="n">
        <v>191.4</v>
      </c>
      <c r="O40" s="28" t="inlineStr">
        <is>
          <t>NONE</t>
        </is>
      </c>
      <c r="P40" s="28" t="inlineStr">
        <is>
          <t>EMPTY</t>
        </is>
      </c>
      <c r="Q40" s="31"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40" s="31"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40" s="13" t="inlineStr">
        <is>
          <t>Website form</t>
        </is>
      </c>
      <c r="T40" s="13" t="inlineStr">
        <is>
          <t>ServiceMinder campaign</t>
        </is>
      </c>
      <c r="U40" s="13" t="n">
        <v>3</v>
      </c>
      <c r="V40" s="13" t="inlineStr">
        <is>
          <t>Prospect</t>
        </is>
      </c>
    </row>
    <row r="41" ht="15" customHeight="1">
      <c r="A41" s="14" t="n">
        <v>51054930</v>
      </c>
      <c r="B41" s="14" t="inlineStr">
        <is>
          <t>2026-08</t>
        </is>
      </c>
      <c r="C41" s="14" t="inlineStr">
        <is>
          <t>Ines Dubbels</t>
        </is>
      </c>
      <c r="D41" s="14" t="inlineStr">
        <is>
          <t>1497 Van Houten Ave</t>
        </is>
      </c>
      <c r="E41" s="14" t="inlineStr">
        <is>
          <t>Clifton</t>
        </is>
      </c>
      <c r="F41" s="14" t="inlineStr">
        <is>
          <t>NJ</t>
        </is>
      </c>
      <c r="G41" s="14" t="inlineStr">
        <is>
          <t>07013</t>
        </is>
      </c>
      <c r="H41" s="14" t="inlineStr">
        <is>
          <t>9175448807</t>
        </is>
      </c>
      <c r="I41" s="14" t="inlineStr"/>
      <c r="J41" s="14" t="inlineStr">
        <is>
          <t>idubbels@gmail.com</t>
        </is>
      </c>
      <c r="K41" s="14" t="inlineStr">
        <is>
          <t>2026-08-12 12:00</t>
        </is>
      </c>
      <c r="L41" s="14" t="inlineStr">
        <is>
          <t>8/5/2026 2:29 PM</t>
        </is>
      </c>
      <c r="M41" s="14" t="inlineStr">
        <is>
          <t>8/11/2026 2:07 PM</t>
        </is>
      </c>
      <c r="N41" s="27" t="n">
        <v>21.9</v>
      </c>
      <c r="O41" s="28" t="inlineStr">
        <is>
          <t>NONE</t>
        </is>
      </c>
      <c r="P41" s="28" t="inlineStr">
        <is>
          <t>EMPTY</t>
        </is>
      </c>
      <c r="Q41" s="29" t="inlineStr"/>
      <c r="R41" s="29" t="inlineStr">
        <is>
          <t>[Perceptionist Call] The caller, Katrina, is seeking kitchen renovation services due to water damage and wear on her 20-year-old kitchen. The agent scheduled an appointment for an inspection on Wednesday, the 12th, at 12 PM. Katrina's address is 1497 Van Houten Avenue, Clifton, NJ 07013. She found the company through a local Facebook group and is looking to complete the project by September. The agent will send a confirmation email with a design style quiz to complete before the appointment.</t>
        </is>
      </c>
      <c r="S41" s="14" t="inlineStr">
        <is>
          <t>kitchentuneup.com</t>
        </is>
      </c>
      <c r="T41" s="14" t="inlineStr">
        <is>
          <t>ServiceMinder campaign</t>
        </is>
      </c>
      <c r="U41" s="14" t="inlineStr"/>
      <c r="V41" s="14" t="inlineStr">
        <is>
          <t>Prospect</t>
        </is>
      </c>
    </row>
    <row r="42" ht="15" customHeight="1">
      <c r="A42" s="13" t="n">
        <v>51956121</v>
      </c>
      <c r="B42" s="13" t="inlineStr">
        <is>
          <t>2026-08</t>
        </is>
      </c>
      <c r="C42" s="13" t="inlineStr">
        <is>
          <t>Lisette  Nazario</t>
        </is>
      </c>
      <c r="D42" s="13" t="inlineStr">
        <is>
          <t>63 Hawthorne Avenue</t>
        </is>
      </c>
      <c r="E42" s="13" t="inlineStr">
        <is>
          <t>07003</t>
        </is>
      </c>
      <c r="F42" s="13" t="inlineStr">
        <is>
          <t>NJ</t>
        </is>
      </c>
      <c r="G42" s="13" t="inlineStr">
        <is>
          <t>07003</t>
        </is>
      </c>
      <c r="H42" s="13" t="inlineStr">
        <is>
          <t>9733384008</t>
        </is>
      </c>
      <c r="I42" s="13" t="inlineStr"/>
      <c r="J42" s="13" t="inlineStr">
        <is>
          <t>nqtribe@gmail.com</t>
        </is>
      </c>
      <c r="K42" s="13" t="inlineStr">
        <is>
          <t>2026-08-14 10:00</t>
        </is>
      </c>
      <c r="L42" s="13" t="inlineStr">
        <is>
          <t>8/10/2026 2:16 PM</t>
        </is>
      </c>
      <c r="M42" s="13" t="inlineStr">
        <is>
          <t>8/13/2026 9:35 AM</t>
        </is>
      </c>
      <c r="N42" s="30" t="n">
        <v>24.4</v>
      </c>
      <c r="O42" s="28" t="inlineStr">
        <is>
          <t>NONE</t>
        </is>
      </c>
      <c r="P42" s="28" t="inlineStr">
        <is>
          <t>EMPTY</t>
        </is>
      </c>
      <c r="Q42" s="31" t="inlineStr"/>
      <c r="R42" s="31" t="inlineStr"/>
      <c r="S42" s="13" t="inlineStr">
        <is>
          <t>Organic search</t>
        </is>
      </c>
      <c r="T42" s="13" t="inlineStr">
        <is>
          <t>ServiceMinder campaign</t>
        </is>
      </c>
      <c r="U42" s="13" t="inlineStr"/>
      <c r="V42" s="13" t="inlineStr">
        <is>
          <t>Prospect</t>
        </is>
      </c>
    </row>
    <row r="43" ht="15" customHeight="1">
      <c r="A43" s="14" t="n">
        <v>52239062</v>
      </c>
      <c r="B43" s="14" t="inlineStr">
        <is>
          <t>2026-08</t>
        </is>
      </c>
      <c r="C43" s="14" t="inlineStr">
        <is>
          <t>Lorraine  Derfler</t>
        </is>
      </c>
      <c r="D43" s="14" t="inlineStr">
        <is>
          <t>19 Talbot Ct</t>
        </is>
      </c>
      <c r="E43" s="14" t="inlineStr">
        <is>
          <t>Short Hills</t>
        </is>
      </c>
      <c r="F43" s="14" t="inlineStr">
        <is>
          <t>NJ</t>
        </is>
      </c>
      <c r="G43" s="14" t="inlineStr">
        <is>
          <t>07078</t>
        </is>
      </c>
      <c r="H43" s="14" t="inlineStr">
        <is>
          <t>2014524977</t>
        </is>
      </c>
      <c r="I43" s="14" t="inlineStr"/>
      <c r="J43" s="14" t="inlineStr">
        <is>
          <t>derfy4@aol.com</t>
        </is>
      </c>
      <c r="K43" s="14" t="inlineStr">
        <is>
          <t>2026-08-19 16:00</t>
        </is>
      </c>
      <c r="L43" s="14" t="inlineStr">
        <is>
          <t>8/17/2026 2:02 PM</t>
        </is>
      </c>
      <c r="M43" s="14" t="inlineStr">
        <is>
          <t>8/19/2026 12:59 PM</t>
        </is>
      </c>
      <c r="N43" s="27" t="n">
        <v>3</v>
      </c>
      <c r="O43" s="28" t="inlineStr">
        <is>
          <t>NONE</t>
        </is>
      </c>
      <c r="P43" s="28" t="inlineStr">
        <is>
          <t>EMPTY</t>
        </is>
      </c>
      <c r="Q43" s="29" t="inlineStr"/>
      <c r="R43" s="29" t="inlineStr">
        <is>
          <t>[F/U call from lead] Lead is looking to have new granite or quartz c/t put in. She wants something durable as she does a lot of cooking. She also wants to look into either a paint or a reface on her cabinets. She said they are nicer cabinets, but a bit on the older side and she's not sure how long she'll stay living in the home. When asked about budget, she said she's rather discuss that in person || [untitled] Follow up... Needs Emergency window and other house repair done. Will get back to me after discussing with financial planner. || [Accepting after Memorial day] Travelling and will accept in May and after Memorial Day 5/27/24. || [Follow up - Proposal] Sent text . Asked when i could stop by to confirm everything. Signing after memorial day. || [project delayed due to termites] Wants to do project but no money to put down deposit. Termites and new windows. Will probably do project in June or July. Prospect knows it will cost more money in June or July. || [Perceptionist Call] The caller, Lorraine Derfler, requested a kitchen tune-up estimate. The appointment is scheduled for Wednesday, the 19th at 4 PM at her address: 19 Talbot Court, Short Hills, NJ 07078. Lorraine's phone number is (201) 452-4977, and her email is dersy4@aol.com. She inquired about the duration of the appointment, and the agent confirmed it should take about an hour. Lorraine is advised to complete a design style quiz before the appointment.</t>
        </is>
      </c>
      <c r="S43" s="14" t="inlineStr">
        <is>
          <t>Google search</t>
        </is>
      </c>
      <c r="T43" s="14" t="inlineStr">
        <is>
          <t>ServiceMinder campaign</t>
        </is>
      </c>
      <c r="U43" s="14" t="inlineStr"/>
      <c r="V43" s="14" t="inlineStr">
        <is>
          <t>Prospect</t>
        </is>
      </c>
    </row>
    <row r="44" ht="15" customHeight="1">
      <c r="A44" s="13" t="n">
        <v>52225988</v>
      </c>
      <c r="B44" s="13" t="inlineStr">
        <is>
          <t>2026-08</t>
        </is>
      </c>
      <c r="C44" s="13" t="inlineStr">
        <is>
          <t>Jay Mistry</t>
        </is>
      </c>
      <c r="D44" s="13" t="inlineStr">
        <is>
          <t>23 Pilgrim Dr</t>
        </is>
      </c>
      <c r="E44" s="13" t="inlineStr">
        <is>
          <t>Clifton</t>
        </is>
      </c>
      <c r="F44" s="13" t="inlineStr">
        <is>
          <t>NJ</t>
        </is>
      </c>
      <c r="G44" s="13" t="inlineStr">
        <is>
          <t>07013</t>
        </is>
      </c>
      <c r="H44" s="13" t="inlineStr">
        <is>
          <t>8624002658</t>
        </is>
      </c>
      <c r="I44" s="13" t="inlineStr"/>
      <c r="J44" s="13" t="inlineStr">
        <is>
          <t>mistryjn@gmail.com</t>
        </is>
      </c>
      <c r="K44" s="13" t="inlineStr">
        <is>
          <t>2026-08-20 16:00</t>
        </is>
      </c>
      <c r="L44" s="13" t="inlineStr">
        <is>
          <t>8/16/2026 11:24 AM</t>
        </is>
      </c>
      <c r="M44" s="13" t="inlineStr">
        <is>
          <t>8/19/2026 1:03 PM</t>
        </is>
      </c>
      <c r="N44" s="30" t="n">
        <v>26.9</v>
      </c>
      <c r="O44" s="28" t="inlineStr">
        <is>
          <t>NONE</t>
        </is>
      </c>
      <c r="P44" s="28" t="inlineStr">
        <is>
          <t>EMPTY</t>
        </is>
      </c>
      <c r="Q44" s="31" t="inlineStr"/>
      <c r="R44" s="31" t="inlineStr">
        <is>
          <t>[Booking Details] || In their words: Remodel entir kitchen cabinets countertop floor recess lights || Inspiration: Worked out kitchen floor cabinets || Budget: $20,000 - $30,000 || Homeowner: Yes || Agent: Ben Yabra || Source: ROASForm</t>
        </is>
      </c>
      <c r="S44" s="13" t="inlineStr">
        <is>
          <t>ROASForm (paid-social landing form)</t>
        </is>
      </c>
      <c r="T44" s="13" t="inlineStr">
        <is>
          <t>ServiceMinder booking note</t>
        </is>
      </c>
      <c r="U44" s="13" t="inlineStr"/>
      <c r="V44" s="13" t="inlineStr">
        <is>
          <t>Prospect</t>
        </is>
      </c>
    </row>
    <row r="45" ht="15" customHeight="1">
      <c r="A45" s="14" t="n">
        <v>51051472</v>
      </c>
      <c r="B45" s="14" t="inlineStr">
        <is>
          <t>2026-08</t>
        </is>
      </c>
      <c r="C45" s="14" t="inlineStr">
        <is>
          <t>Garret Starr</t>
        </is>
      </c>
      <c r="D45" s="14" t="inlineStr">
        <is>
          <t>56 Salter Pl</t>
        </is>
      </c>
      <c r="E45" s="14" t="inlineStr">
        <is>
          <t>Maplewood</t>
        </is>
      </c>
      <c r="F45" s="14" t="inlineStr">
        <is>
          <t>NJ</t>
        </is>
      </c>
      <c r="G45" s="14" t="inlineStr">
        <is>
          <t>07040</t>
        </is>
      </c>
      <c r="H45" s="14" t="inlineStr">
        <is>
          <t>6464839242</t>
        </is>
      </c>
      <c r="I45" s="14" t="inlineStr"/>
      <c r="J45" s="14" t="inlineStr">
        <is>
          <t>garret.m.starr@gmail.com</t>
        </is>
      </c>
      <c r="K45" s="14" t="inlineStr">
        <is>
          <t>2026-08-21 12:00</t>
        </is>
      </c>
      <c r="L45" s="14" t="inlineStr">
        <is>
          <t>8/5/2026 11:09 AM</t>
        </is>
      </c>
      <c r="M45" s="14" t="inlineStr">
        <is>
          <t>8/20/2026 6:09 PM</t>
        </is>
      </c>
      <c r="N45" s="27" t="n">
        <v>17.9</v>
      </c>
      <c r="O45" s="28" t="inlineStr">
        <is>
          <t>NONE</t>
        </is>
      </c>
      <c r="P45" s="28" t="inlineStr">
        <is>
          <t>EMPTY</t>
        </is>
      </c>
      <c r="Q45" s="29" t="inlineStr"/>
      <c r="R45" s="29" t="inlineStr">
        <is>
          <t>[Booking Details] The lead is interested in a full remodel of their kitchen, including new appliances, new cabinetry, and new lighting. The kitchen floor has already been updated recently, so they do not need flooring, but they are open to suggestions about changing the layout, such as potentially converting their L-shaped island to a full island if it would improve the space. The inspiration for the project comes from having recently moved into the home in January and knowing from the start that the kitchen would need upgrading. The property is a single family house, and both the lead and their wife are homeowners. The timeline for starting the project could be as soon as 90 days, though the decision to proceed depends on the overall cost and value of the project, as the lead mentioned they might have otherwise waited a couple of years if not for a compelling offer. There is no explicit mention of interest in financing options during the call. || In their words: Our kitchen is outdated and need a refresh. New cabinetry, appliances, lighting, etc. I think everything flows, but I’d take advice on layout as well. || Inspiration: We moved recently. Always knew I wanted to remodel the kitchen. If I get a really good deal, I’ll fast forward the work. || Budget: $50,000+ || Homeowner: Yes || Agent: Ben Yabra || Source: ROASForm</t>
        </is>
      </c>
      <c r="S45" s="14" t="inlineStr">
        <is>
          <t>ROASForm (paid-social landing form)</t>
        </is>
      </c>
      <c r="T45" s="14" t="inlineStr">
        <is>
          <t>ServiceMinder booking note</t>
        </is>
      </c>
      <c r="U45" s="14" t="inlineStr"/>
      <c r="V45" s="14" t="inlineStr">
        <is>
          <t>Prospect</t>
        </is>
      </c>
    </row>
    <row r="46" ht="15" customHeight="1">
      <c r="A46" s="13" t="n">
        <v>52078050</v>
      </c>
      <c r="B46" s="13" t="inlineStr">
        <is>
          <t>2026-08</t>
        </is>
      </c>
      <c r="C46" s="13" t="inlineStr">
        <is>
          <t>Jean  Rutter</t>
        </is>
      </c>
      <c r="D46" s="13" t="inlineStr">
        <is>
          <t>Apt 4 B</t>
        </is>
      </c>
      <c r="E46" s="13" t="inlineStr">
        <is>
          <t>South Orange Village</t>
        </is>
      </c>
      <c r="F46" s="13" t="inlineStr">
        <is>
          <t>NJ</t>
        </is>
      </c>
      <c r="G46" s="13" t="inlineStr">
        <is>
          <t>07110</t>
        </is>
      </c>
      <c r="H46" s="13" t="inlineStr">
        <is>
          <t>9088129958</t>
        </is>
      </c>
      <c r="I46" s="13" t="inlineStr">
        <is>
          <t>2018197437</t>
        </is>
      </c>
      <c r="J46" s="13" t="inlineStr">
        <is>
          <t>angela.hyndman@gmail.com</t>
        </is>
      </c>
      <c r="K46" s="13" t="inlineStr">
        <is>
          <t>2026-08-21 14:00</t>
        </is>
      </c>
      <c r="L46" s="13" t="inlineStr">
        <is>
          <t>8/12/2026 12:12 PM</t>
        </is>
      </c>
      <c r="M46" s="13" t="inlineStr">
        <is>
          <t>8/12/2026 12:22 PM</t>
        </is>
      </c>
      <c r="N46" s="30" t="n">
        <v>217.6</v>
      </c>
      <c r="O46" s="13" t="inlineStr">
        <is>
          <t>Other</t>
        </is>
      </c>
      <c r="P46" s="28" t="inlineStr">
        <is>
          <t>EMPTY</t>
        </is>
      </c>
      <c r="Q46" s="31" t="inlineStr">
        <is>
          <t>[Perceptionist Call] The caller, Natalie, is canceling her appointment scheduled for next week on the 12th due to a priority issue with her house. The appointment was set for 45 West Main Street. She plans to put a hold on the kitchen project and will reach out again when she is ready to proceed. The agent acknowledged the cancellation and expressed eagerness to assist her in the future.</t>
        </is>
      </c>
      <c r="R46" s="31" t="inlineStr">
        <is>
          <t>[Perceptionist Call] The agent, Jenny from Kitchen Tuna, followed up with the caller regarding their online request for kitchen services. The caller confirmed their phone number as (908) 812-9958 and expressed interest in new countertops, a backsplash, and possibly flooring, while being open to ideas for improving kitchen flow. The agent will forward this information to the service manager for further follow-up on the project. The call concluded with the caller thanking the agent. || [Form] .... || [Perceptionist Call] The caller, Teresa, is following up with the lead regarding their request to be removed from the contact list for kitchen services. The lead expresses frustration over receiving multiple calls and requests confirmation of their removal. The agent acknowledges the issue and assures the lead that they will be removed from the list. The conversation ends on a positive note with the lead thanking the agent.</t>
        </is>
      </c>
      <c r="S46" s="13" t="inlineStr">
        <is>
          <t>Website form</t>
        </is>
      </c>
      <c r="T46" s="13" t="inlineStr">
        <is>
          <t>ServiceMinder campaign</t>
        </is>
      </c>
      <c r="U46" s="13" t="n">
        <v>3</v>
      </c>
      <c r="V46" s="13" t="inlineStr">
        <is>
          <t>Prospect</t>
        </is>
      </c>
    </row>
    <row r="47" ht="15" customHeight="1">
      <c r="A47" s="14" t="n">
        <v>52103584</v>
      </c>
      <c r="B47" s="14" t="inlineStr">
        <is>
          <t>2026-08</t>
        </is>
      </c>
      <c r="C47" s="14" t="inlineStr">
        <is>
          <t>Roger Cadillo</t>
        </is>
      </c>
      <c r="D47" s="14" t="inlineStr">
        <is>
          <t>10 Rever Dr</t>
        </is>
      </c>
      <c r="E47" s="14" t="inlineStr">
        <is>
          <t>Florham Park</t>
        </is>
      </c>
      <c r="F47" s="14" t="inlineStr">
        <is>
          <t>NJ</t>
        </is>
      </c>
      <c r="G47" s="14" t="inlineStr">
        <is>
          <t>07932</t>
        </is>
      </c>
      <c r="H47" s="14" t="inlineStr">
        <is>
          <t>9737697866</t>
        </is>
      </c>
      <c r="I47" s="14" t="inlineStr"/>
      <c r="J47" s="14" t="inlineStr">
        <is>
          <t>rocadisa@aol.com</t>
        </is>
      </c>
      <c r="K47" s="14" t="inlineStr">
        <is>
          <t>2026-08-22 10:00</t>
        </is>
      </c>
      <c r="L47" s="14" t="inlineStr">
        <is>
          <t>8/13/2026 9:50 PM</t>
        </is>
      </c>
      <c r="M47" s="14" t="inlineStr">
        <is>
          <t>8/20/2026 5:06 PM</t>
        </is>
      </c>
      <c r="N47" s="27" t="n">
        <v>40.9</v>
      </c>
      <c r="O47" s="28" t="inlineStr">
        <is>
          <t>NONE</t>
        </is>
      </c>
      <c r="P47" s="28" t="inlineStr">
        <is>
          <t>EMPTY</t>
        </is>
      </c>
      <c r="Q47" s="29" t="inlineStr"/>
      <c r="R47" s="29" t="inlineStr">
        <is>
          <t>[Booking Details] || In their words: Full Kitchen || Inspiration: I want to have a completely re designed kitchen , either I will re design or seek help || Budget: $20,000 - $30,000 || Homeowner: Yes || Agent: Ben Yabra || Source: ROASForm || [Booking Details] The lead is planning a full kitchen renovation in their house and, as the homeowner, they want a completely redesigned space that looks nice. They’re considering either tackling the design themselves or seeking professional help. The project is set to begin in about a month. || In their words: Full Kitchen || Inspiration: I want to have a completely re designed kitchen , either I will re design or seek help || Budget: $20,000 - $30,000 || Homeowner: Yes || Agent: Ben Yabra || Source: ROASForm</t>
        </is>
      </c>
      <c r="S47" s="14" t="inlineStr">
        <is>
          <t>ROASForm (paid-social landing form)</t>
        </is>
      </c>
      <c r="T47" s="14" t="inlineStr">
        <is>
          <t>ServiceMinder booking note</t>
        </is>
      </c>
      <c r="U47" s="14" t="inlineStr"/>
      <c r="V47" s="14" t="inlineStr">
        <is>
          <t>Prospect</t>
        </is>
      </c>
    </row>
    <row r="48" ht="15" customHeight="1">
      <c r="A48" s="13" t="n">
        <v>52230196</v>
      </c>
      <c r="B48" s="13" t="inlineStr">
        <is>
          <t>2026-08</t>
        </is>
      </c>
      <c r="C48" s="13" t="inlineStr">
        <is>
          <t>Yvette Bailey</t>
        </is>
      </c>
      <c r="D48" s="13" t="inlineStr">
        <is>
          <t>19 Fells Manor Rd</t>
        </is>
      </c>
      <c r="E48" s="13" t="inlineStr">
        <is>
          <t>Caldwell</t>
        </is>
      </c>
      <c r="F48" s="13" t="inlineStr">
        <is>
          <t>NJ</t>
        </is>
      </c>
      <c r="G48" s="13" t="inlineStr">
        <is>
          <t>07006</t>
        </is>
      </c>
      <c r="H48" s="13" t="inlineStr">
        <is>
          <t>9737277373</t>
        </is>
      </c>
      <c r="I48" s="13" t="inlineStr"/>
      <c r="J48" s="13" t="inlineStr">
        <is>
          <t>ybailey2238@yahoo.com</t>
        </is>
      </c>
      <c r="K48" s="13" t="inlineStr">
        <is>
          <t>2026-08-26 10:00</t>
        </is>
      </c>
      <c r="L48" s="13" t="inlineStr">
        <is>
          <t>8/17/2026 9:59 AM</t>
        </is>
      </c>
      <c r="M48" s="13" t="inlineStr">
        <is>
          <t>8/26/2026 7:02 AM</t>
        </is>
      </c>
      <c r="N48" s="30" t="n">
        <v>3</v>
      </c>
      <c r="O48" s="28" t="inlineStr">
        <is>
          <t>NONE</t>
        </is>
      </c>
      <c r="P48" s="28" t="inlineStr">
        <is>
          <t>EMPTY</t>
        </is>
      </c>
      <c r="Q48" s="31" t="inlineStr"/>
      <c r="R48" s="31" t="inlineStr">
        <is>
          <t>[Follow up] Phone not provided is incorrect. Sent email || [Follow up] Left VM to confirm appt details || [Follow up] Left VM to confirm appt details || [Cancel Appt] Prospect can get cabinets for $5200 plus installation. Wants the reface number to be at $5000-$6000. not possible. Home Depot quoted $11,000 to reface. Did not waste any more time with this lady. Wacky || [Initial Contact] Called number in profile but it's not in service. Other Yvette Bailey's in SM with same zipcode. Maybe same person,. If so, I'm hesitate to reach back out bc the notes from 2021 states waste of time and "wacky". || [Booking Details] || In their words: In-Home Estimate || Inspiration: The kitchen is the original kitchen from when they built this townhouse back in 1984 so it’s outdated || Budget: $30,000 - $50,000 || Homeowner: Yes || Agent: Ben Yabra || Source: ROASForm</t>
        </is>
      </c>
      <c r="S48" s="13" t="inlineStr">
        <is>
          <t>Meta - Franchise Facebook Paid</t>
        </is>
      </c>
      <c r="T48" s="13" t="inlineStr">
        <is>
          <t>ServiceMinder campaign</t>
        </is>
      </c>
      <c r="U48" s="13" t="inlineStr"/>
      <c r="V48" s="13" t="inlineStr">
        <is>
          <t>Prospect</t>
        </is>
      </c>
    </row>
    <row r="49" ht="15" customHeight="1">
      <c r="A49" s="14" t="n">
        <v>50975123</v>
      </c>
      <c r="B49" s="14" t="inlineStr">
        <is>
          <t>2026-08</t>
        </is>
      </c>
      <c r="C49" s="14" t="inlineStr">
        <is>
          <t>Roseann and Irving Martin</t>
        </is>
      </c>
      <c r="D49" s="14" t="inlineStr">
        <is>
          <t>322 Bowden Rd</t>
        </is>
      </c>
      <c r="E49" s="14" t="inlineStr">
        <is>
          <t>Cedar Grove</t>
        </is>
      </c>
      <c r="F49" s="14" t="inlineStr">
        <is>
          <t>NJ</t>
        </is>
      </c>
      <c r="G49" s="14" t="inlineStr">
        <is>
          <t>07009</t>
        </is>
      </c>
      <c r="H49" s="14" t="inlineStr">
        <is>
          <t>9738571592</t>
        </is>
      </c>
      <c r="I49" s="14" t="inlineStr"/>
      <c r="J49" s="14" t="inlineStr">
        <is>
          <t>roseannmartin@verizon.net</t>
        </is>
      </c>
      <c r="K49" s="14" t="inlineStr">
        <is>
          <t>2026-08-27 10:00</t>
        </is>
      </c>
      <c r="L49" s="14" t="inlineStr">
        <is>
          <t>8/4/2026 2:06 PM</t>
        </is>
      </c>
      <c r="M49" s="14" t="inlineStr">
        <is>
          <t>8/21/2026 4:07 PM</t>
        </is>
      </c>
      <c r="N49" s="27" t="n">
        <v>137.9</v>
      </c>
      <c r="O49" s="28" t="inlineStr">
        <is>
          <t>NONE</t>
        </is>
      </c>
      <c r="P49" s="28" t="inlineStr">
        <is>
          <t>EMPTY</t>
        </is>
      </c>
      <c r="Q49" s="29" t="inlineStr"/>
      <c r="R49" s="29" t="inlineStr">
        <is>
          <t>[Form] ....</t>
        </is>
      </c>
      <c r="S49" s="14" t="inlineStr">
        <is>
          <t>Website form</t>
        </is>
      </c>
      <c r="T49" s="14" t="inlineStr">
        <is>
          <t>ServiceMinder campaign</t>
        </is>
      </c>
      <c r="U49" s="14" t="n">
        <v>2</v>
      </c>
      <c r="V49" s="14" t="inlineStr">
        <is>
          <t>Prospect</t>
        </is>
      </c>
    </row>
    <row r="50" ht="15" customHeight="1">
      <c r="A50" s="13" t="n">
        <v>52954942</v>
      </c>
      <c r="B50" s="13" t="inlineStr">
        <is>
          <t>2026-08</t>
        </is>
      </c>
      <c r="C50" s="13" t="inlineStr">
        <is>
          <t>Joyce  Moore</t>
        </is>
      </c>
      <c r="D50" s="13" t="inlineStr">
        <is>
          <t>68 Valley Way</t>
        </is>
      </c>
      <c r="E50" s="13" t="inlineStr">
        <is>
          <t>West Orange</t>
        </is>
      </c>
      <c r="F50" s="13" t="inlineStr">
        <is>
          <t>NJ</t>
        </is>
      </c>
      <c r="G50" s="13" t="inlineStr">
        <is>
          <t>07052</t>
        </is>
      </c>
      <c r="H50" s="13" t="inlineStr">
        <is>
          <t>2012597970</t>
        </is>
      </c>
      <c r="I50" s="13" t="inlineStr"/>
      <c r="J50" s="13" t="inlineStr">
        <is>
          <t>jksmoore@aol.com</t>
        </is>
      </c>
      <c r="K50" s="13" t="inlineStr">
        <is>
          <t>2026-08-27 16:00</t>
        </is>
      </c>
      <c r="L50" s="13" t="inlineStr">
        <is>
          <t>8/22/2026 9:09 AM</t>
        </is>
      </c>
      <c r="M50" s="13" t="inlineStr">
        <is>
          <t>8/26/2026 9:21 AM</t>
        </is>
      </c>
      <c r="N50" s="30" t="n">
        <v>30.6</v>
      </c>
      <c r="O50" s="28" t="inlineStr">
        <is>
          <t>NONE</t>
        </is>
      </c>
      <c r="P50" s="28" t="inlineStr">
        <is>
          <t>EMPTY</t>
        </is>
      </c>
      <c r="Q50" s="31" t="inlineStr">
        <is>
          <t>[Perceptionist Call] The caller, Joyce Moore, needs to reschedule an estimate originally set for Thursday at 10:00 AM due to a dentist appointment at 10:30 AM. Her address is 68 Valley Way, zip code 07052, and her contact numbers are (973) 736-9840 and her cell, 201-259-7970. The agent will forward her request to the manager for rescheduling and ensure they follow up with her. Joyce is advised that she will be contacted soon to confirm the new appointment time. || [Perceptionist Call] The caller, Joyce More, reached out to confirm a rescheduling for an appointment on the 27th at 4 PM. The agent, Brandy, confirmed the appointment and communicated that Steven would have Sonia call Joyce within the next 1-2 minutes for any additional information. Joyce's phone number is (973) 736-9840. The call was recorded for training and quality assurance purposes.</t>
        </is>
      </c>
      <c r="R50" s="31" t="inlineStr">
        <is>
          <t>[Form] .... || [Perceptionist Call] The lead, Andres, is interested in a kitchen remodel, specifically a new countertop, sink, faucet, backsplash, and cabinet hardware, with a budget under $10,000. He provided his address at 68 Valley Way, Weststar, Orange, New Jersey, and his phone number (201) 259-7970. An appointment was scheduled for Thursday, the 27th at 10 AM for a free estimate, and he emphasized the need for the team to be well-prepared with his specifications, including a stainless steel sink and mid-grade faucet with a touch component. The agent, Brandy, confirmed the details and will ensure the team is informed before the appointment. || [Perceptionist Call] The caller, Joyce Moore, requested a time change for her appointment originally set for 10:00 AM. The appointment is now confirmed for August 27th at 4:00 PM at 68 Valley Way, Orange, New Jersey. The agent confirmed the appointment and noted that a duplicate request was received, ensuring no further changes would be attempted. Joyce expressed satisfaction with the resolution before ending the call.</t>
        </is>
      </c>
      <c r="S50" s="13" t="inlineStr">
        <is>
          <t>Paid social</t>
        </is>
      </c>
      <c r="T50" s="13" t="inlineStr">
        <is>
          <t>ServiceMinder campaign</t>
        </is>
      </c>
      <c r="U50" s="13" t="inlineStr"/>
      <c r="V50" s="13" t="inlineStr">
        <is>
          <t>Prospect</t>
        </is>
      </c>
    </row>
    <row r="51" ht="15" customHeight="1">
      <c r="A51" s="14" t="n">
        <v>53000841</v>
      </c>
      <c r="B51" s="14" t="inlineStr">
        <is>
          <t>2026-08</t>
        </is>
      </c>
      <c r="C51" s="14" t="inlineStr">
        <is>
          <t>Vincent Henrich</t>
        </is>
      </c>
      <c r="D51" s="14" t="inlineStr">
        <is>
          <t>107 Cherry St</t>
        </is>
      </c>
      <c r="E51" s="14" t="inlineStr">
        <is>
          <t>West Orange</t>
        </is>
      </c>
      <c r="F51" s="14" t="inlineStr">
        <is>
          <t>NJ</t>
        </is>
      </c>
      <c r="G51" s="14" t="inlineStr">
        <is>
          <t>07052</t>
        </is>
      </c>
      <c r="H51" s="14" t="inlineStr">
        <is>
          <t>9732800174</t>
        </is>
      </c>
      <c r="I51" s="14" t="inlineStr"/>
      <c r="J51" s="14" t="inlineStr">
        <is>
          <t>thehat17@gmail.com</t>
        </is>
      </c>
      <c r="K51" s="14" t="inlineStr">
        <is>
          <t>2026-08-28 10:00</t>
        </is>
      </c>
      <c r="L51" s="14" t="inlineStr">
        <is>
          <t>8/24/2026 1:36 PM</t>
        </is>
      </c>
      <c r="M51" s="14" t="inlineStr">
        <is>
          <t>8/27/2026 9:29 AM</t>
        </is>
      </c>
      <c r="N51" s="27" t="n">
        <v>24.5</v>
      </c>
      <c r="O51" s="28" t="inlineStr">
        <is>
          <t>NONE</t>
        </is>
      </c>
      <c r="P51" s="28" t="inlineStr">
        <is>
          <t>EMPTY</t>
        </is>
      </c>
      <c r="Q51" s="29" t="inlineStr">
        <is>
          <t>[Perceptionist Call] The caller, Tina, requested to cancel an appointment scheduled for tomorrow at 10 AM for Vincent at 107 Cherry Street. The appointment was under the phone number (973) 280-0174. Tina mentioned a scheduling conflict and indicated she would call back to reschedule in the future. The agent confirmed the cancellation and encouraged her to reach out when ready to reschedule.</t>
        </is>
      </c>
      <c r="R51" s="29" t="inlineStr">
        <is>
          <t>[Form] .... || [Perceptionist Call] The agent, Carol, contacted the lead, Vincent Henrik, regarding his inquiry about Kitchen Tune-Up services. Vincent confirmed his address as 107 Cherry Street, West Orange, NJ 07052, and provided his phone number (973) 280-0174 and email (theha-17@gmail.com). They scheduled a free in-home estimate for Friday at 10 AM, with Vincent needing to be present for the appointment. Vincent mentioned he wants the work done within the next month, in time for Thanksgiving.</t>
        </is>
      </c>
      <c r="S51" s="14" t="inlineStr">
        <is>
          <t>Direct traffic</t>
        </is>
      </c>
      <c r="T51" s="14" t="inlineStr">
        <is>
          <t>ServiceMinder campaign</t>
        </is>
      </c>
      <c r="U51" s="14" t="inlineStr"/>
      <c r="V51" s="14" t="inlineStr">
        <is>
          <t>Prospect</t>
        </is>
      </c>
    </row>
  </sheetData>
  <autoFilter ref="A4:V51"/>
  <mergeCells count="1">
    <mergeCell ref="A2:S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0"/>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34" customWidth="1" min="3" max="3"/>
    <col width="24" customWidth="1" min="4" max="4"/>
    <col width="28" customWidth="1" min="5" max="5"/>
    <col width="16" customWidth="1" min="6" max="6"/>
    <col width="7" customWidth="1" min="7" max="7"/>
    <col width="8" customWidth="1" min="8" max="8"/>
    <col width="14" customWidth="1" min="9" max="9"/>
    <col width="17" customWidth="1" min="10" max="10"/>
    <col width="17" customWidth="1" min="11" max="11"/>
    <col width="26" customWidth="1" min="12" max="12"/>
  </cols>
  <sheetData>
    <row r="1" ht="22" customHeight="1">
      <c r="A1" s="1" t="inlineStr">
        <is>
          <t>The 26 July–August records removed from sheet 4</t>
        </is>
      </c>
    </row>
    <row r="2" ht="30" customHeight="1">
      <c r="A2" s="2" t="inlineStr">
        <is>
          <t>Kept here so the exclusion is auditable rather than invisible. Removing these moves the July–August cancellation count from 73 to 47.</t>
        </is>
      </c>
    </row>
    <row r="4" ht="30" customHeight="1">
      <c r="A4" s="3" t="inlineStr">
        <is>
          <t>Appt ID</t>
        </is>
      </c>
      <c r="B4" s="3" t="inlineStr">
        <is>
          <t>Month</t>
        </is>
      </c>
      <c r="C4" s="3" t="inlineStr">
        <is>
          <t>Why excluded</t>
        </is>
      </c>
      <c r="D4" s="3" t="inlineStr">
        <is>
          <t>Customer</t>
        </is>
      </c>
      <c r="E4" s="3" t="inlineStr">
        <is>
          <t>Service address</t>
        </is>
      </c>
      <c r="F4" s="3" t="inlineStr">
        <is>
          <t>City</t>
        </is>
      </c>
      <c r="G4" s="3" t="inlineStr">
        <is>
          <t>State</t>
        </is>
      </c>
      <c r="H4" s="3" t="inlineStr">
        <is>
          <t>ZIP</t>
        </is>
      </c>
      <c r="I4" s="3" t="inlineStr">
        <is>
          <t>Phone</t>
        </is>
      </c>
      <c r="J4" s="3" t="inlineStr">
        <is>
          <t>Appointment date</t>
        </is>
      </c>
      <c r="K4" s="3" t="inlineStr">
        <is>
          <t>Cancelled</t>
        </is>
      </c>
      <c r="L4" s="3" t="inlineStr">
        <is>
          <t>Lead source</t>
        </is>
      </c>
    </row>
    <row r="5">
      <c r="A5" s="14" t="n">
        <v>52954807</v>
      </c>
      <c r="B5" s="14" t="inlineStr">
        <is>
          <t>2026-08</t>
        </is>
      </c>
      <c r="C5" s="32" t="inlineStr">
        <is>
          <t>Double-booked slot</t>
        </is>
      </c>
      <c r="D5" s="14" t="inlineStr">
        <is>
          <t>Marilyn Vargas</t>
        </is>
      </c>
      <c r="E5" s="14" t="inlineStr">
        <is>
          <t>233 East 8th Street</t>
        </is>
      </c>
      <c r="F5" s="14" t="inlineStr">
        <is>
          <t>Clifton</t>
        </is>
      </c>
      <c r="G5" s="14" t="inlineStr">
        <is>
          <t>NJ</t>
        </is>
      </c>
      <c r="H5" s="14" t="inlineStr">
        <is>
          <t>07011</t>
        </is>
      </c>
      <c r="I5" s="14" t="inlineStr">
        <is>
          <t>9733322224</t>
        </is>
      </c>
      <c r="J5" s="14" t="inlineStr">
        <is>
          <t>2026-08-26 12:30</t>
        </is>
      </c>
      <c r="K5" s="14" t="inlineStr">
        <is>
          <t>8/26/2026 8:56 AM</t>
        </is>
      </c>
      <c r="L5" s="14" t="inlineStr">
        <is>
          <t>Direct traffic</t>
        </is>
      </c>
    </row>
    <row r="6">
      <c r="A6" s="13" t="n">
        <v>50146879</v>
      </c>
      <c r="B6" s="13" t="inlineStr">
        <is>
          <t>2026-07</t>
        </is>
      </c>
      <c r="C6" s="33" t="inlineStr">
        <is>
          <t>Flagged Duplicate Booking</t>
        </is>
      </c>
      <c r="D6" s="13" t="inlineStr">
        <is>
          <t>Jackie Giordano</t>
        </is>
      </c>
      <c r="E6" s="13" t="inlineStr">
        <is>
          <t>119 Cedar St</t>
        </is>
      </c>
      <c r="F6" s="13" t="inlineStr">
        <is>
          <t>Nutley</t>
        </is>
      </c>
      <c r="G6" s="13" t="inlineStr">
        <is>
          <t>NJ</t>
        </is>
      </c>
      <c r="H6" s="13" t="inlineStr">
        <is>
          <t>07110</t>
        </is>
      </c>
      <c r="I6" s="13" t="inlineStr">
        <is>
          <t>2018893025</t>
        </is>
      </c>
      <c r="J6" s="13" t="inlineStr">
        <is>
          <t>2026-07-17 12:00</t>
        </is>
      </c>
      <c r="K6" s="13" t="inlineStr">
        <is>
          <t>7/11/2026 12:07 PM</t>
        </is>
      </c>
      <c r="L6" s="13" t="inlineStr">
        <is>
          <t>Google search</t>
        </is>
      </c>
    </row>
    <row r="7">
      <c r="A7" s="14" t="n">
        <v>49890440</v>
      </c>
      <c r="B7" s="14" t="inlineStr">
        <is>
          <t>2026-07</t>
        </is>
      </c>
      <c r="C7" s="32" t="inlineStr">
        <is>
          <t>Out of service area</t>
        </is>
      </c>
      <c r="D7" s="14" t="inlineStr">
        <is>
          <t>Brooklyn  Chuck</t>
        </is>
      </c>
      <c r="E7" s="14" t="inlineStr">
        <is>
          <t>489 Pacific Street</t>
        </is>
      </c>
      <c r="F7" s="14" t="inlineStr">
        <is>
          <t>Brooklyn</t>
        </is>
      </c>
      <c r="G7" s="14" t="inlineStr">
        <is>
          <t>NY</t>
        </is>
      </c>
      <c r="H7" s="14" t="inlineStr">
        <is>
          <t>11217</t>
        </is>
      </c>
      <c r="I7" s="14" t="inlineStr">
        <is>
          <t>6463205657</t>
        </is>
      </c>
      <c r="J7" s="14" t="inlineStr">
        <is>
          <t>2026-07-11 10:00</t>
        </is>
      </c>
      <c r="K7" s="14" t="inlineStr">
        <is>
          <t>7/9/2026 11:05 AM</t>
        </is>
      </c>
      <c r="L7" s="14" t="inlineStr">
        <is>
          <t>Meta (Hybrid-FB)</t>
        </is>
      </c>
    </row>
    <row r="8">
      <c r="A8" s="13" t="n">
        <v>50145680</v>
      </c>
      <c r="B8" s="13" t="inlineStr">
        <is>
          <t>2026-07</t>
        </is>
      </c>
      <c r="C8" s="33" t="inlineStr">
        <is>
          <t>Out of service area</t>
        </is>
      </c>
      <c r="D8" s="13" t="inlineStr">
        <is>
          <t>Agata Michalik</t>
        </is>
      </c>
      <c r="E8" s="13" t="inlineStr">
        <is>
          <t>4516 Smith Avenue</t>
        </is>
      </c>
      <c r="F8" s="13" t="inlineStr">
        <is>
          <t>North Bergen</t>
        </is>
      </c>
      <c r="G8" s="13" t="inlineStr">
        <is>
          <t>NJ</t>
        </is>
      </c>
      <c r="H8" s="13" t="inlineStr">
        <is>
          <t>07047</t>
        </is>
      </c>
      <c r="I8" s="13" t="inlineStr">
        <is>
          <t>7185946467</t>
        </is>
      </c>
      <c r="J8" s="13" t="inlineStr">
        <is>
          <t>2026-07-17 10:00</t>
        </is>
      </c>
      <c r="K8" s="13" t="inlineStr">
        <is>
          <t>7/16/2026 6:46 PM</t>
        </is>
      </c>
      <c r="L8" s="13" t="inlineStr">
        <is>
          <t>Meta (Hybrid-FB)</t>
        </is>
      </c>
    </row>
    <row r="9">
      <c r="A9" s="14" t="n">
        <v>50419114</v>
      </c>
      <c r="B9" s="14" t="inlineStr">
        <is>
          <t>2026-07</t>
        </is>
      </c>
      <c r="C9" s="32" t="inlineStr">
        <is>
          <t>Out of service area</t>
        </is>
      </c>
      <c r="D9" s="14" t="inlineStr">
        <is>
          <t>Audrey  Marketta</t>
        </is>
      </c>
      <c r="E9" s="14" t="inlineStr">
        <is>
          <t>392 Georgia Rd</t>
        </is>
      </c>
      <c r="F9" s="14" t="inlineStr">
        <is>
          <t>Freehold</t>
        </is>
      </c>
      <c r="G9" s="14" t="inlineStr">
        <is>
          <t>NJ</t>
        </is>
      </c>
      <c r="H9" s="14" t="inlineStr">
        <is>
          <t>07728</t>
        </is>
      </c>
      <c r="I9" s="14" t="inlineStr">
        <is>
          <t>3094432327</t>
        </is>
      </c>
      <c r="J9" s="14" t="inlineStr">
        <is>
          <t>2026-07-30 10:00</t>
        </is>
      </c>
      <c r="K9" s="14" t="inlineStr">
        <is>
          <t>7/29/2026 6:22 AM</t>
        </is>
      </c>
      <c r="L9" s="14" t="inlineStr">
        <is>
          <t>Paid social</t>
        </is>
      </c>
    </row>
    <row r="10">
      <c r="A10" s="13" t="n">
        <v>50417753</v>
      </c>
      <c r="B10" s="13" t="inlineStr">
        <is>
          <t>2026-08</t>
        </is>
      </c>
      <c r="C10" s="33" t="inlineStr">
        <is>
          <t>Out of service area</t>
        </is>
      </c>
      <c r="D10" s="13" t="inlineStr">
        <is>
          <t>Omar Green</t>
        </is>
      </c>
      <c r="E10" s="13" t="inlineStr">
        <is>
          <t>15 Zabriskie Ave</t>
        </is>
      </c>
      <c r="F10" s="13" t="inlineStr">
        <is>
          <t>Bayonne</t>
        </is>
      </c>
      <c r="G10" s="13" t="inlineStr">
        <is>
          <t>NJ</t>
        </is>
      </c>
      <c r="H10" s="13" t="inlineStr">
        <is>
          <t>07002</t>
        </is>
      </c>
      <c r="I10" s="13" t="inlineStr">
        <is>
          <t>3472648964</t>
        </is>
      </c>
      <c r="J10" s="13" t="inlineStr">
        <is>
          <t>2026-08-01 12:00</t>
        </is>
      </c>
      <c r="K10" s="13" t="inlineStr">
        <is>
          <t>7/31/2026 3:25 PM</t>
        </is>
      </c>
      <c r="L10" s="13" t="inlineStr">
        <is>
          <t>Meta - NAF Facebook Paid</t>
        </is>
      </c>
    </row>
    <row r="11">
      <c r="A11" s="14" t="n">
        <v>50895920</v>
      </c>
      <c r="B11" s="14" t="inlineStr">
        <is>
          <t>2026-08</t>
        </is>
      </c>
      <c r="C11" s="32" t="inlineStr">
        <is>
          <t>Out of service area</t>
        </is>
      </c>
      <c r="D11" s="14" t="inlineStr">
        <is>
          <t>Camille Howard</t>
        </is>
      </c>
      <c r="E11" s="14" t="inlineStr">
        <is>
          <t>125 Kitchell Lake Dr</t>
        </is>
      </c>
      <c r="F11" s="14" t="inlineStr">
        <is>
          <t>West Milford</t>
        </is>
      </c>
      <c r="G11" s="14" t="inlineStr">
        <is>
          <t>NJ</t>
        </is>
      </c>
      <c r="H11" s="14" t="inlineStr">
        <is>
          <t>07480</t>
        </is>
      </c>
      <c r="I11" s="14" t="inlineStr">
        <is>
          <t>2404262405</t>
        </is>
      </c>
      <c r="J11" s="14" t="inlineStr">
        <is>
          <t>2026-08-05 10:00</t>
        </is>
      </c>
      <c r="K11" s="14" t="inlineStr">
        <is>
          <t>8/4/2026 11:50 AM</t>
        </is>
      </c>
      <c r="L11" s="14" t="inlineStr">
        <is>
          <t>ROASForm (paid-social landing form)</t>
        </is>
      </c>
    </row>
    <row r="12">
      <c r="A12" s="13" t="n">
        <v>50943006</v>
      </c>
      <c r="B12" s="13" t="inlineStr">
        <is>
          <t>2026-08</t>
        </is>
      </c>
      <c r="C12" s="33" t="inlineStr">
        <is>
          <t>Out of service area</t>
        </is>
      </c>
      <c r="D12" s="13" t="inlineStr">
        <is>
          <t>Tanvi Thacker</t>
        </is>
      </c>
      <c r="E12" s="13" t="inlineStr">
        <is>
          <t>40 Ridge Rd</t>
        </is>
      </c>
      <c r="F12" s="13" t="inlineStr">
        <is>
          <t>Green Brook Township</t>
        </is>
      </c>
      <c r="G12" s="13" t="inlineStr">
        <is>
          <t>NJ</t>
        </is>
      </c>
      <c r="H12" s="13" t="inlineStr">
        <is>
          <t>08812</t>
        </is>
      </c>
      <c r="I12" s="13" t="inlineStr">
        <is>
          <t>4087866357</t>
        </is>
      </c>
      <c r="J12" s="13" t="inlineStr">
        <is>
          <t>2026-08-05 12:00</t>
        </is>
      </c>
      <c r="K12" s="13" t="inlineStr">
        <is>
          <t>7/31/2026 7:59 PM</t>
        </is>
      </c>
      <c r="L12" s="13" t="inlineStr">
        <is>
          <t>ROASForm (paid-social landing form)</t>
        </is>
      </c>
    </row>
    <row r="13">
      <c r="A13" s="14" t="n">
        <v>51536033</v>
      </c>
      <c r="B13" s="14" t="inlineStr">
        <is>
          <t>2026-08</t>
        </is>
      </c>
      <c r="C13" s="32" t="inlineStr">
        <is>
          <t>Out of service area</t>
        </is>
      </c>
      <c r="D13" s="14" t="inlineStr">
        <is>
          <t>Akif tarique</t>
        </is>
      </c>
      <c r="E13" s="14" t="inlineStr">
        <is>
          <t>35 Balmoral Dr</t>
        </is>
      </c>
      <c r="F13" s="14" t="inlineStr">
        <is>
          <t>Pittstown</t>
        </is>
      </c>
      <c r="G13" s="14" t="inlineStr">
        <is>
          <t>NJ</t>
        </is>
      </c>
      <c r="H13" s="14" t="inlineStr">
        <is>
          <t>08867</t>
        </is>
      </c>
      <c r="I13" s="14" t="inlineStr">
        <is>
          <t>9082296213</t>
        </is>
      </c>
      <c r="J13" s="14" t="inlineStr">
        <is>
          <t>2026-08-12 16:00</t>
        </is>
      </c>
      <c r="K13" s="14" t="inlineStr">
        <is>
          <t>8/11/2026 2:09 PM</t>
        </is>
      </c>
      <c r="L13" s="14" t="inlineStr">
        <is>
          <t>ROASForm (paid-social landing form)</t>
        </is>
      </c>
    </row>
    <row r="14">
      <c r="A14" s="13" t="n">
        <v>52300931</v>
      </c>
      <c r="B14" s="13" t="inlineStr">
        <is>
          <t>2026-08</t>
        </is>
      </c>
      <c r="C14" s="33" t="inlineStr">
        <is>
          <t>Out of service area</t>
        </is>
      </c>
      <c r="D14" s="13" t="inlineStr">
        <is>
          <t>Michael  Saunders</t>
        </is>
      </c>
      <c r="E14" s="13" t="inlineStr">
        <is>
          <t>102 Cherry Street</t>
        </is>
      </c>
      <c r="F14" s="13" t="inlineStr">
        <is>
          <t>Jersey City</t>
        </is>
      </c>
      <c r="G14" s="13" t="inlineStr">
        <is>
          <t>NJ</t>
        </is>
      </c>
      <c r="H14" s="13" t="inlineStr">
        <is>
          <t>07305</t>
        </is>
      </c>
      <c r="I14" s="13" t="inlineStr">
        <is>
          <t>6463194893</t>
        </is>
      </c>
      <c r="J14" s="13" t="inlineStr">
        <is>
          <t>2026-08-21 16:00</t>
        </is>
      </c>
      <c r="K14" s="13" t="inlineStr">
        <is>
          <t>8/20/2026 5:02 PM</t>
        </is>
      </c>
      <c r="L14" s="13" t="inlineStr">
        <is>
          <t>Website form</t>
        </is>
      </c>
    </row>
    <row r="15">
      <c r="A15" s="14" t="n">
        <v>52954806</v>
      </c>
      <c r="B15" s="14" t="inlineStr">
        <is>
          <t>2026-08</t>
        </is>
      </c>
      <c r="C15" s="32" t="inlineStr">
        <is>
          <t>Out of service area</t>
        </is>
      </c>
      <c r="D15" s="14" t="inlineStr">
        <is>
          <t>Kerri Palen</t>
        </is>
      </c>
      <c r="E15" s="14" t="inlineStr">
        <is>
          <t>12 Forge Rd</t>
        </is>
      </c>
      <c r="F15" s="14" t="inlineStr">
        <is>
          <t>Hewitt</t>
        </is>
      </c>
      <c r="G15" s="14" t="inlineStr">
        <is>
          <t>NJ</t>
        </is>
      </c>
      <c r="H15" s="14" t="inlineStr">
        <is>
          <t>07421</t>
        </is>
      </c>
      <c r="I15" s="14" t="inlineStr">
        <is>
          <t>2017876785</t>
        </is>
      </c>
      <c r="J15" s="14" t="inlineStr">
        <is>
          <t>2026-08-28 14:00</t>
        </is>
      </c>
      <c r="K15" s="14" t="inlineStr">
        <is>
          <t>8/25/2026 11:43 AM</t>
        </is>
      </c>
      <c r="L15" s="14" t="inlineStr">
        <is>
          <t>ROASForm (paid-social landing form)</t>
        </is>
      </c>
    </row>
    <row r="16">
      <c r="A16" s="13" t="n">
        <v>53115911</v>
      </c>
      <c r="B16" s="13" t="inlineStr">
        <is>
          <t>2026-08</t>
        </is>
      </c>
      <c r="C16" s="33" t="inlineStr">
        <is>
          <t>Out of service area</t>
        </is>
      </c>
      <c r="D16" s="13" t="inlineStr">
        <is>
          <t>Melba Sirianni</t>
        </is>
      </c>
      <c r="E16" s="13" t="inlineStr">
        <is>
          <t>116 Kennedy Mill Rd</t>
        </is>
      </c>
      <c r="F16" s="13" t="inlineStr">
        <is>
          <t>Stewartsville</t>
        </is>
      </c>
      <c r="G16" s="13" t="inlineStr">
        <is>
          <t>NJ</t>
        </is>
      </c>
      <c r="H16" s="13" t="inlineStr">
        <is>
          <t>08886</t>
        </is>
      </c>
      <c r="I16" s="13" t="inlineStr">
        <is>
          <t>2019697958</t>
        </is>
      </c>
      <c r="J16" s="13" t="inlineStr">
        <is>
          <t>2026-08-28 16:00</t>
        </is>
      </c>
      <c r="K16" s="13" t="inlineStr">
        <is>
          <t>8/28/2026 7:21 AM</t>
        </is>
      </c>
      <c r="L16" s="13" t="inlineStr">
        <is>
          <t>Paid social</t>
        </is>
      </c>
    </row>
    <row r="17">
      <c r="A17" s="14" t="n">
        <v>49554627</v>
      </c>
      <c r="B17" s="14" t="inlineStr">
        <is>
          <t>2026-08</t>
        </is>
      </c>
      <c r="C17" s="32" t="inlineStr">
        <is>
          <t>Out of service area</t>
        </is>
      </c>
      <c r="D17" s="14" t="inlineStr">
        <is>
          <t>Vlad Bond</t>
        </is>
      </c>
      <c r="E17" s="14" t="inlineStr">
        <is>
          <t>801 S Olive St</t>
        </is>
      </c>
      <c r="F17" s="14" t="inlineStr">
        <is>
          <t>Los Angeles</t>
        </is>
      </c>
      <c r="G17" s="14" t="inlineStr">
        <is>
          <t>CA</t>
        </is>
      </c>
      <c r="H17" s="14" t="inlineStr">
        <is>
          <t>90014</t>
        </is>
      </c>
      <c r="I17" s="14" t="inlineStr">
        <is>
          <t>4242797832</t>
        </is>
      </c>
      <c r="J17" s="14" t="inlineStr">
        <is>
          <t>2026-08-29 10:00</t>
        </is>
      </c>
      <c r="K17" s="14" t="inlineStr">
        <is>
          <t>6/19/2026 4:07 PM</t>
        </is>
      </c>
      <c r="L17" s="14" t="inlineStr">
        <is>
          <t>Meta (Hybrid-FB)</t>
        </is>
      </c>
    </row>
    <row r="18">
      <c r="A18" s="13" t="n">
        <v>49554685</v>
      </c>
      <c r="B18" s="13" t="inlineStr">
        <is>
          <t>2026-08</t>
        </is>
      </c>
      <c r="C18" s="33" t="inlineStr">
        <is>
          <t>Out of service area</t>
        </is>
      </c>
      <c r="D18" s="13" t="inlineStr">
        <is>
          <t>Vlad Bond</t>
        </is>
      </c>
      <c r="E18" s="13" t="inlineStr">
        <is>
          <t>801 S Olive St</t>
        </is>
      </c>
      <c r="F18" s="13" t="inlineStr">
        <is>
          <t>Los Angeles</t>
        </is>
      </c>
      <c r="G18" s="13" t="inlineStr">
        <is>
          <t>CA</t>
        </is>
      </c>
      <c r="H18" s="13" t="inlineStr">
        <is>
          <t>90014</t>
        </is>
      </c>
      <c r="I18" s="13" t="inlineStr">
        <is>
          <t>4242797832</t>
        </is>
      </c>
      <c r="J18" s="13" t="inlineStr">
        <is>
          <t>2026-08-29 12:00</t>
        </is>
      </c>
      <c r="K18" s="13" t="inlineStr">
        <is>
          <t>6/19/2026 4:07 PM</t>
        </is>
      </c>
      <c r="L18" s="13" t="inlineStr">
        <is>
          <t>Meta (Hybrid-FB)</t>
        </is>
      </c>
    </row>
    <row r="19">
      <c r="A19" s="14" t="n">
        <v>49549377</v>
      </c>
      <c r="B19" s="14" t="inlineStr">
        <is>
          <t>2026-07</t>
        </is>
      </c>
      <c r="C19" s="32" t="inlineStr">
        <is>
          <t>Test / system record</t>
        </is>
      </c>
      <c r="D19" s="14" t="inlineStr">
        <is>
          <t>test fallback 1</t>
        </is>
      </c>
      <c r="E19" s="14" t="inlineStr">
        <is>
          <t>1285 Broad Street</t>
        </is>
      </c>
      <c r="F19" s="14" t="inlineStr">
        <is>
          <t>Bloomfield</t>
        </is>
      </c>
      <c r="G19" s="14" t="inlineStr">
        <is>
          <t>NJ</t>
        </is>
      </c>
      <c r="H19" s="14" t="inlineStr">
        <is>
          <t>07003</t>
        </is>
      </c>
      <c r="I19" s="14" t="inlineStr">
        <is>
          <t>22222222222222</t>
        </is>
      </c>
      <c r="J19" s="14" t="inlineStr">
        <is>
          <t>2026-07-16 12:00</t>
        </is>
      </c>
      <c r="K19" s="14" t="inlineStr">
        <is>
          <t>6/19/2026 11:02 AM</t>
        </is>
      </c>
      <c r="L19" s="14" t="inlineStr">
        <is>
          <t>Personal Contact</t>
        </is>
      </c>
    </row>
    <row r="20">
      <c r="A20" s="13" t="n">
        <v>49549403</v>
      </c>
      <c r="B20" s="13" t="inlineStr">
        <is>
          <t>2026-07</t>
        </is>
      </c>
      <c r="C20" s="33" t="inlineStr">
        <is>
          <t>Test / system record</t>
        </is>
      </c>
      <c r="D20" s="13" t="inlineStr">
        <is>
          <t>test fallback 1</t>
        </is>
      </c>
      <c r="E20" s="13" t="inlineStr">
        <is>
          <t>1285 Broad Street</t>
        </is>
      </c>
      <c r="F20" s="13" t="inlineStr">
        <is>
          <t>Bloomfield</t>
        </is>
      </c>
      <c r="G20" s="13" t="inlineStr">
        <is>
          <t>NJ</t>
        </is>
      </c>
      <c r="H20" s="13" t="inlineStr">
        <is>
          <t>07003</t>
        </is>
      </c>
      <c r="I20" s="13" t="inlineStr">
        <is>
          <t>22222222222222</t>
        </is>
      </c>
      <c r="J20" s="13" t="inlineStr">
        <is>
          <t>2026-07-16 14:00</t>
        </is>
      </c>
      <c r="K20" s="13" t="inlineStr">
        <is>
          <t>6/19/2026 11:06 AM</t>
        </is>
      </c>
      <c r="L20" s="13" t="inlineStr">
        <is>
          <t>Personal Contact</t>
        </is>
      </c>
    </row>
    <row r="21">
      <c r="A21" s="14" t="n">
        <v>49554480</v>
      </c>
      <c r="B21" s="14" t="inlineStr">
        <is>
          <t>2026-07</t>
        </is>
      </c>
      <c r="C21" s="32" t="inlineStr">
        <is>
          <t>Test / system record</t>
        </is>
      </c>
      <c r="D21" s="14" t="inlineStr">
        <is>
          <t>Testing123 Please1</t>
        </is>
      </c>
      <c r="E21" s="14" t="inlineStr">
        <is>
          <t>26 Willow Street Glen Ridge New Jersey 07028</t>
        </is>
      </c>
      <c r="F21" s="14" t="inlineStr">
        <is>
          <t>Glen Ridge</t>
        </is>
      </c>
      <c r="G21" s="14" t="inlineStr">
        <is>
          <t>NJ</t>
        </is>
      </c>
      <c r="H21" s="14" t="inlineStr">
        <is>
          <t>07028</t>
        </is>
      </c>
      <c r="I21" s="14" t="inlineStr">
        <is>
          <t>3128334246</t>
        </is>
      </c>
      <c r="J21" s="14" t="inlineStr">
        <is>
          <t>2026-07-18 12:00</t>
        </is>
      </c>
      <c r="K21" s="14" t="inlineStr">
        <is>
          <t>6/19/2026 4:03 PM</t>
        </is>
      </c>
      <c r="L21" s="14" t="inlineStr">
        <is>
          <t>Website form</t>
        </is>
      </c>
    </row>
    <row r="22">
      <c r="A22" s="13" t="n">
        <v>49556685</v>
      </c>
      <c r="B22" s="13" t="inlineStr">
        <is>
          <t>2026-07</t>
        </is>
      </c>
      <c r="C22" s="33" t="inlineStr">
        <is>
          <t>Test / system record</t>
        </is>
      </c>
      <c r="D22" s="13" t="inlineStr">
        <is>
          <t>Testing123 Please1</t>
        </is>
      </c>
      <c r="E22" s="13" t="inlineStr">
        <is>
          <t>26 Willow Street Glen Ridge New Jersey 07028</t>
        </is>
      </c>
      <c r="F22" s="13" t="inlineStr">
        <is>
          <t>Glen Ridge</t>
        </is>
      </c>
      <c r="G22" s="13" t="inlineStr">
        <is>
          <t>NJ</t>
        </is>
      </c>
      <c r="H22" s="13" t="inlineStr">
        <is>
          <t>07028</t>
        </is>
      </c>
      <c r="I22" s="13" t="inlineStr">
        <is>
          <t>3128334246</t>
        </is>
      </c>
      <c r="J22" s="13" t="inlineStr">
        <is>
          <t>2026-07-18 12:00</t>
        </is>
      </c>
      <c r="K22" s="13" t="inlineStr">
        <is>
          <t>6/19/2026 11:51 PM</t>
        </is>
      </c>
      <c r="L22" s="13" t="inlineStr">
        <is>
          <t>Website form</t>
        </is>
      </c>
    </row>
    <row r="23">
      <c r="A23" s="14" t="n">
        <v>49556911</v>
      </c>
      <c r="B23" s="14" t="inlineStr">
        <is>
          <t>2026-07</t>
        </is>
      </c>
      <c r="C23" s="32" t="inlineStr">
        <is>
          <t>Test / system record</t>
        </is>
      </c>
      <c r="D23" s="14" t="inlineStr">
        <is>
          <t>Testing123 Please1</t>
        </is>
      </c>
      <c r="E23" s="14" t="inlineStr">
        <is>
          <t>26 Willow Street Glen Ridge New Jersey 07028</t>
        </is>
      </c>
      <c r="F23" s="14" t="inlineStr">
        <is>
          <t>Glen Ridge</t>
        </is>
      </c>
      <c r="G23" s="14" t="inlineStr">
        <is>
          <t>NJ</t>
        </is>
      </c>
      <c r="H23" s="14" t="inlineStr">
        <is>
          <t>07028</t>
        </is>
      </c>
      <c r="I23" s="14" t="inlineStr">
        <is>
          <t>3128334246</t>
        </is>
      </c>
      <c r="J23" s="14" t="inlineStr">
        <is>
          <t>2026-07-18 12:00</t>
        </is>
      </c>
      <c r="K23" s="14" t="inlineStr">
        <is>
          <t>6/20/2026 8:41 AM</t>
        </is>
      </c>
      <c r="L23" s="14" t="inlineStr">
        <is>
          <t>Website form</t>
        </is>
      </c>
    </row>
    <row r="24">
      <c r="A24" s="13" t="n">
        <v>50938813</v>
      </c>
      <c r="B24" s="13" t="inlineStr">
        <is>
          <t>2026-08</t>
        </is>
      </c>
      <c r="C24" s="33" t="inlineStr">
        <is>
          <t>Test / system record</t>
        </is>
      </c>
      <c r="D24" s="13" t="inlineStr">
        <is>
          <t>test</t>
        </is>
      </c>
      <c r="E24" s="13" t="inlineStr">
        <is>
          <t>377 old bridge Turnpike</t>
        </is>
      </c>
      <c r="F24" s="13" t="inlineStr">
        <is>
          <t>East Brunswick</t>
        </is>
      </c>
      <c r="G24" s="13" t="inlineStr">
        <is>
          <t>NJ</t>
        </is>
      </c>
      <c r="H24" s="13" t="inlineStr">
        <is>
          <t>07022</t>
        </is>
      </c>
      <c r="I24" s="13" t="inlineStr">
        <is>
          <t>5554444444</t>
        </is>
      </c>
      <c r="J24" s="13" t="inlineStr">
        <is>
          <t>2026-08-05 16:00</t>
        </is>
      </c>
      <c r="K24" s="13" t="inlineStr">
        <is>
          <t>8/4/2026 6:18 AM</t>
        </is>
      </c>
      <c r="L24" s="13" t="inlineStr">
        <is>
          <t>Unattributed (Online only)</t>
        </is>
      </c>
    </row>
    <row r="25">
      <c r="A25" s="14" t="n">
        <v>50964262</v>
      </c>
      <c r="B25" s="14" t="inlineStr">
        <is>
          <t>2026-08</t>
        </is>
      </c>
      <c r="C25" s="32" t="inlineStr">
        <is>
          <t>Test / system record</t>
        </is>
      </c>
      <c r="D25" s="14" t="inlineStr">
        <is>
          <t>test</t>
        </is>
      </c>
      <c r="E25" s="14" t="inlineStr">
        <is>
          <t>377 old bridge Turnpike</t>
        </is>
      </c>
      <c r="F25" s="14" t="inlineStr">
        <is>
          <t>East Brunswick</t>
        </is>
      </c>
      <c r="G25" s="14" t="inlineStr">
        <is>
          <t>NJ</t>
        </is>
      </c>
      <c r="H25" s="14" t="inlineStr">
        <is>
          <t>07022</t>
        </is>
      </c>
      <c r="I25" s="14" t="inlineStr">
        <is>
          <t>5554444444</t>
        </is>
      </c>
      <c r="J25" s="14" t="inlineStr">
        <is>
          <t>2026-08-13 16:00</t>
        </is>
      </c>
      <c r="K25" s="14" t="inlineStr">
        <is>
          <t>8/3/2026 2:52 PM</t>
        </is>
      </c>
      <c r="L25" s="14" t="inlineStr">
        <is>
          <t>Unattributed (Online only)</t>
        </is>
      </c>
    </row>
    <row r="26">
      <c r="A26" s="13" t="n">
        <v>52959456</v>
      </c>
      <c r="B26" s="13" t="inlineStr">
        <is>
          <t>2026-08</t>
        </is>
      </c>
      <c r="C26" s="33" t="inlineStr">
        <is>
          <t>Test / system record</t>
        </is>
      </c>
      <c r="D26" s="13" t="inlineStr">
        <is>
          <t>Admin  Javalogix Test</t>
        </is>
      </c>
      <c r="E26" s="13" t="inlineStr">
        <is>
          <t>1285 Broad Street</t>
        </is>
      </c>
      <c r="F26" s="13" t="inlineStr">
        <is>
          <t>Bloomfield</t>
        </is>
      </c>
      <c r="G26" s="13" t="inlineStr">
        <is>
          <t>NJ</t>
        </is>
      </c>
      <c r="H26" s="13" t="inlineStr">
        <is>
          <t>07003</t>
        </is>
      </c>
      <c r="I26" s="13" t="inlineStr">
        <is>
          <t>905555555555</t>
        </is>
      </c>
      <c r="J26" s="13" t="inlineStr">
        <is>
          <t>2026-08-27 14:00</t>
        </is>
      </c>
      <c r="K26" s="13" t="inlineStr">
        <is>
          <t>8/26/2026 9:20 AM</t>
        </is>
      </c>
      <c r="L26" s="13" t="inlineStr">
        <is>
          <t>Unattributed (Online only)</t>
        </is>
      </c>
    </row>
    <row r="27">
      <c r="A27" s="14" t="n">
        <v>50941637</v>
      </c>
      <c r="B27" s="14" t="inlineStr">
        <is>
          <t>2026-08</t>
        </is>
      </c>
      <c r="C27" s="32" t="inlineStr">
        <is>
          <t>Test / system record</t>
        </is>
      </c>
      <c r="D27" s="14" t="inlineStr">
        <is>
          <t>test00</t>
        </is>
      </c>
      <c r="E27" s="14" t="inlineStr">
        <is>
          <t>48 Cortlandt St</t>
        </is>
      </c>
      <c r="F27" s="14" t="inlineStr">
        <is>
          <t>Roseland</t>
        </is>
      </c>
      <c r="G27" s="14" t="inlineStr">
        <is>
          <t>NJ</t>
        </is>
      </c>
      <c r="H27" s="14" t="inlineStr">
        <is>
          <t>07069</t>
        </is>
      </c>
      <c r="I27" s="14" t="inlineStr">
        <is>
          <t>2345678900</t>
        </is>
      </c>
      <c r="J27" s="14" t="inlineStr">
        <is>
          <t>2026-08-29 12:00</t>
        </is>
      </c>
      <c r="K27" s="14" t="inlineStr">
        <is>
          <t>7/31/2026 10:13 AM</t>
        </is>
      </c>
      <c r="L27" s="14" t="inlineStr">
        <is>
          <t>Unattributed (default channel)</t>
        </is>
      </c>
    </row>
    <row r="28">
      <c r="A28" s="13" t="n">
        <v>50941961</v>
      </c>
      <c r="B28" s="13" t="inlineStr">
        <is>
          <t>2026-08</t>
        </is>
      </c>
      <c r="C28" s="33" t="inlineStr">
        <is>
          <t>Test / system record</t>
        </is>
      </c>
      <c r="D28" s="13" t="inlineStr">
        <is>
          <t>test00</t>
        </is>
      </c>
      <c r="E28" s="13" t="inlineStr">
        <is>
          <t>48 Cortlandt St</t>
        </is>
      </c>
      <c r="F28" s="13" t="inlineStr">
        <is>
          <t>Roseland</t>
        </is>
      </c>
      <c r="G28" s="13" t="inlineStr">
        <is>
          <t>NJ</t>
        </is>
      </c>
      <c r="H28" s="13" t="inlineStr">
        <is>
          <t>07069</t>
        </is>
      </c>
      <c r="I28" s="13" t="inlineStr">
        <is>
          <t>2345678900</t>
        </is>
      </c>
      <c r="J28" s="13" t="inlineStr">
        <is>
          <t>2026-08-29 12:00</t>
        </is>
      </c>
      <c r="K28" s="13" t="inlineStr">
        <is>
          <t>7/31/2026 10:19 AM</t>
        </is>
      </c>
      <c r="L28" s="13" t="inlineStr">
        <is>
          <t>Unattributed (default channel)</t>
        </is>
      </c>
    </row>
    <row r="29">
      <c r="A29" s="14" t="n">
        <v>50949353</v>
      </c>
      <c r="B29" s="14" t="inlineStr">
        <is>
          <t>2026-08</t>
        </is>
      </c>
      <c r="C29" s="32" t="inlineStr">
        <is>
          <t>Wrong address written to record (KTU office)</t>
        </is>
      </c>
      <c r="D29" s="14" t="inlineStr">
        <is>
          <t>Sara and Mike Corrigan</t>
        </is>
      </c>
      <c r="E29" s="14" t="inlineStr">
        <is>
          <t>32 Harvard St</t>
        </is>
      </c>
      <c r="F29" s="14" t="inlineStr">
        <is>
          <t>Montclair</t>
        </is>
      </c>
      <c r="G29" s="14" t="inlineStr">
        <is>
          <t>NJ</t>
        </is>
      </c>
      <c r="H29" s="14" t="inlineStr">
        <is>
          <t>07042</t>
        </is>
      </c>
      <c r="I29" s="14" t="inlineStr">
        <is>
          <t>2015194977</t>
        </is>
      </c>
      <c r="J29" s="14" t="inlineStr">
        <is>
          <t>2026-08-06 10:00</t>
        </is>
      </c>
      <c r="K29" s="14" t="inlineStr">
        <is>
          <t>8/5/2026 5:33 PM</t>
        </is>
      </c>
      <c r="L29" s="14" t="inlineStr">
        <is>
          <t>ROASForm (paid-social landing form)</t>
        </is>
      </c>
    </row>
    <row r="30">
      <c r="A30" s="13" t="n">
        <v>50955643</v>
      </c>
      <c r="B30" s="13" t="inlineStr">
        <is>
          <t>2026-08</t>
        </is>
      </c>
      <c r="C30" s="33" t="inlineStr">
        <is>
          <t>Wrong address written to record (KTU office)</t>
        </is>
      </c>
      <c r="D30" s="13" t="inlineStr">
        <is>
          <t>Sher Manara</t>
        </is>
      </c>
      <c r="E30" s="13" t="inlineStr">
        <is>
          <t>76 Elm Pl</t>
        </is>
      </c>
      <c r="F30" s="13" t="inlineStr">
        <is>
          <t>Nutley</t>
        </is>
      </c>
      <c r="G30" s="13" t="inlineStr">
        <is>
          <t>NJ</t>
        </is>
      </c>
      <c r="H30" s="13" t="inlineStr">
        <is>
          <t>07110</t>
        </is>
      </c>
      <c r="I30" s="13" t="inlineStr">
        <is>
          <t>9738180241</t>
        </is>
      </c>
      <c r="J30" s="13" t="inlineStr">
        <is>
          <t>2026-08-07 16:00</t>
        </is>
      </c>
      <c r="K30" s="13" t="inlineStr">
        <is>
          <t>8/7/2026 3:47 PM</t>
        </is>
      </c>
      <c r="L30" s="13" t="inlineStr">
        <is>
          <t>ROASForm (paid-social landing form)</t>
        </is>
      </c>
    </row>
  </sheetData>
  <autoFilter ref="A4:L30"/>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0" customWidth="1" min="1" max="1"/>
    <col width="112" customWidth="1" min="2" max="2"/>
  </cols>
  <sheetData>
    <row r="1" ht="22" customHeight="1">
      <c r="A1" s="1" t="inlineStr">
        <is>
          <t>How this workbook was built</t>
        </is>
      </c>
    </row>
    <row r="2" ht="30" customHeight="1">
      <c r="A2" s="2" t="inlineStr">
        <is>
          <t>Every figure is a live pull from the ServiceMinder Open API on 29 August 2026, not from a saved export.</t>
        </is>
      </c>
    </row>
    <row r="4" ht="42" customHeight="1">
      <c r="A4" s="34" t="inlineStr">
        <is>
          <t>Scope</t>
        </is>
      </c>
      <c r="B4" s="29" t="inlineStr">
        <is>
          <t>Kitchen Tune-Up only. ServiceMinder organization 1682, location KT20191006. Bath Tune-Up is organization 4761 and appears in no figure in this workbook. Service type is "Consultation - In-Home" throughout; showroom, in-store, site-visit, measuring, follow-up and installation appointments are all excluded.</t>
        </is>
      </c>
    </row>
    <row r="5" ht="30" customHeight="1">
      <c r="A5" s="34" t="inlineStr">
        <is>
          <t>Period</t>
        </is>
      </c>
      <c r="B5" s="29" t="inlineStr">
        <is>
          <t>Appointments scheduled 1 Sep 2025 – 31 Aug 2026. Eight consults are on the books for September and beyond and are not counted anywhere.</t>
        </is>
      </c>
    </row>
    <row r="6" ht="42" customHeight="1">
      <c r="A6" s="34" t="inlineStr">
        <is>
          <t>Endpoints used</t>
        </is>
      </c>
      <c r="B6" s="29" t="inlineStr">
        <is>
          <t>appointments/query (776 appointments), appointments/find (per-appointment notes and cancel-reason codes), contacts/locate (contact records and notes), proposal/query with Scope="all" (284 proposals). HighLevel was queried through the LeadConnector MCP endpoint for lead-source recovery.</t>
        </is>
      </c>
    </row>
    <row r="7" ht="42" customHeight="1">
      <c r="A7" s="34" t="inlineStr">
        <is>
          <t>Appointment status codes</t>
        </is>
      </c>
      <c r="B7" s="29" t="inlineStr">
        <is>
          <t>0 Tentative · 1 Scheduled · 2 unused · 3 Completed · 4 Cancelled. "Attended" means status 3, "Cancelled" means status 4. Cancellation % is cancelled ÷ (cancelled + attended); appointments still scheduled are excluded from the denominator.</t>
        </is>
      </c>
    </row>
    <row r="8" ht="70" customHeight="1">
      <c r="A8" s="34" t="inlineStr">
        <is>
          <t>Test records</t>
        </is>
      </c>
      <c r="B8" s="29" t="inlineStr">
        <is>
          <t>24 consult records across the 12 months are integration tests, created through the "KTUApp" API key or by the "Support" user — names like "test fallback 1" (phone 22222222222222), "test integration", "Testing123 Please1 - KTU", "Admin Javalogix Test", most booked to the KTU office at 1285 Broad St. They are excluded from every count and shown per month in column L of sheet 1. Five fall in July and five in August. A cancellation report run without stripping them overstates July bookings as 53 rather than 48.</t>
        </is>
      </c>
    </row>
    <row r="9" ht="84" customHeight="1">
      <c r="A9" s="34" t="inlineStr">
        <is>
          <t>Proposals</t>
        </is>
      </c>
      <c r="B9" s="29" t="inlineStr">
        <is>
          <t>Counted by issue date, real quotes only. Nine proposals with a subtotal of zero or less — credit memos and adjustments, mostly untitled — were removed; eight of them had been counting as accepted, two in August. "Accepted" means status Invoiced or Complete, which matches exactly the set carrying an AcceptedDate. Acceptance % divides by decided quotes (sent minus still-open), because 83% of acceptances happen within 7 days of issue and leaving fresh open quotes in the denominator makes the newest month look like a month of rejections.</t>
        </is>
      </c>
    </row>
    <row r="10" ht="42" customHeight="1">
      <c r="A10" s="34" t="inlineStr">
        <is>
          <t>Cancel reason codes</t>
        </is>
      </c>
      <c r="B10" s="29" t="inlineStr">
        <is>
          <t>ServiceMinder exposes no cancel-reason lookup endpoint — cancelreasons, settings/cancelreasons, lookups/cancelreasons and appointmentcancelreasons all return HTTP 200 with an empty body. The two codes in use were mapped by joining appointment IDs against the CSV export: 3523 = "Other", 4279 = "Duplicate Booking".</t>
        </is>
      </c>
    </row>
    <row r="11" ht="70" customHeight="1">
      <c r="A11" s="34" t="inlineStr">
        <is>
          <t>Where notes live</t>
        </is>
      </c>
      <c r="B11" s="29" t="inlineStr">
        <is>
          <t>Three places, none reliably filled, so all three were read. (1) Appointment free-text — EMPTY on all 73 July–August cancellations. (2) Contact notes, an array on the contact record — this is where everything readable came from, mostly written by Perceptionist. (3) The CancelReasonId picklist — present on 11 of the 73. Note that appointments/query returns CancelReasonId at the top level while appointments/find returns 0 at the top level and the real value nested in Slots[]; the nested value is the one used here.</t>
        </is>
      </c>
    </row>
    <row r="12" ht="70" customHeight="1">
      <c r="A12" s="34" t="inlineStr">
        <is>
          <t>Lead source</t>
        </is>
      </c>
      <c r="B12" s="29" t="inlineStr">
        <is>
          <t>ServiceMinder cannot answer this alone: its LeadSource field simply repeats Channel ("Online" on 23 of 26 flagged contacts), every UTM field is null, and 16 of 26 carry no campaign. Lead source is resolved in four tiers and the tier that answered is recorded per row: (1) ServiceMinder campaign, (2) HighLevel contact source, (3) the "Source:" line inside the ServiceMinder booking-detail note, (4) ServiceMinder channel alone, which is marked unattributed.</t>
        </is>
      </c>
    </row>
    <row r="13" ht="56" customHeight="1">
      <c r="A13" s="34" t="inlineStr">
        <is>
          <t>Out of service area</t>
        </is>
      </c>
      <c r="B13" s="29" t="inlineStr">
        <is>
          <t>Defined by ZIP against the Bloomfield NJ 07003 base: Los Angeles CA 90014, Brooklyn NY 11217, Nanuet NY 10954, Stewartsville 08886 (~55 mi), Freehold 07728 (~48 mi), Pittstown 08867 (~45 mi), Hamburg 07419 (~38 mi), Hewitt 07421 (~30 mi), West Milford 07480 (~30 mi), Green Brook 08812 (~28 mi), and the Hudson-county ZIPs 07002 Bayonne, 07047 North Bergen, 07305 Jersey City, 07094 Secaucus.</t>
        </is>
      </c>
    </row>
    <row r="14" ht="42" customHeight="1">
      <c r="A14" s="34" t="inlineStr">
        <is>
          <t>Known limitation</t>
        </is>
      </c>
      <c r="B14" s="29" t="inlineStr">
        <is>
          <t>Neither the ServiceMinder export nor its API records WHO cancelled an appointment — there is no user stamp on the cancel action. Nothing in this workbook attributes a cancellation to a person. The ServiceMinder UI activity log is the only place that answer exists.</t>
        </is>
      </c>
    </row>
    <row r="15" ht="30" customHeight="1">
      <c r="A15" s="34" t="inlineStr">
        <is>
          <t>Contains customer PII</t>
        </is>
      </c>
      <c r="B15" s="29" t="inlineStr">
        <is>
          <t>Sheets 4 and 5 hold live customer names, home addresses, phone numbers and email addresses. Handle and share accordingly.</t>
        </is>
      </c>
    </row>
    <row r="16" ht="60" customHeight="1">
      <c r="A16" s="34" t="inlineStr">
        <is>
          <t>Percentages are live formulas</t>
        </is>
      </c>
      <c r="B16" s="29" t="inlineStr">
        <is>
          <t>Every % and total in this workbook is a formula over the counts beside it, not a pasted number, so the sheets stay correct if you filter or edit the underlying rows. They carry no cached result — Excel and Google Sheets compute them the moment the file opens. A lightweight preview pane that reads only cached values may show those cells blank until you open the file properly; that is the preview, not the workbook.</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2026-08-29T22:40:30Z</dcterms:created>
  <dcterms:modified xsi:type="dcterms:W3CDTF">2026-08-29T22:40:46Z</dcterms:modified>
</cp:coreProperties>
</file>