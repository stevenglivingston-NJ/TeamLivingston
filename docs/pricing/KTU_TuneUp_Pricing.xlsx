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Pricing Works" sheetId="1" state="visible" r:id="rId1"/>
    <sheet name="Rate Card" sheetId="2" state="visible" r:id="rId2"/>
    <sheet name="Price by Door Count" sheetId="3" state="visible" r:id="rId3"/>
    <sheet name="Quick Quo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-"/>
    <numFmt numFmtId="165" formatCode="$#,##0;($#,##0);-"/>
    <numFmt numFmtId="166" formatCode="0.0%"/>
    <numFmt numFmtId="167" formatCode="0.##"/>
    <numFmt numFmtId="168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sz val="11"/>
    </font>
    <font>
      <name val="Arial"/>
      <sz val="10"/>
    </font>
    <font>
      <name val="Arial"/>
      <color rgb="00008000"/>
      <sz val="10"/>
    </font>
    <font>
      <name val="Arial"/>
      <b val="1"/>
      <sz val="12"/>
    </font>
    <font>
      <name val="Arial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3" borderId="1" pivotButton="0" quotePrefix="0" xfId="0"/>
    <xf numFmtId="2" fontId="5" fillId="3" borderId="1" pivotButton="0" quotePrefix="0" xfId="0"/>
    <xf numFmtId="1" fontId="5" fillId="3" borderId="1" pivotButton="0" quotePrefix="0" xfId="0"/>
    <xf numFmtId="165" fontId="5" fillId="3" borderId="1" pivotButton="0" quotePrefix="0" xfId="0"/>
    <xf numFmtId="0" fontId="6" fillId="0" borderId="0" pivotButton="0" quotePrefix="0" xfId="0"/>
    <xf numFmtId="0" fontId="4" fillId="0" borderId="0" pivotButton="0" quotePrefix="0" xfId="0"/>
    <xf numFmtId="166" fontId="5" fillId="3" borderId="1" pivotButton="0" quotePrefix="0" xfId="0"/>
    <xf numFmtId="0" fontId="7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0" fontId="2" fillId="0" borderId="1" pivotButton="0" quotePrefix="0" xfId="0"/>
    <xf numFmtId="1" fontId="5" fillId="0" borderId="1" pivotButton="0" quotePrefix="0" xfId="0"/>
    <xf numFmtId="165" fontId="7" fillId="0" borderId="1" pivotButton="0" quotePrefix="0" xfId="0"/>
    <xf numFmtId="0" fontId="5" fillId="3" borderId="1" pivotButton="0" quotePrefix="0" xfId="0"/>
    <xf numFmtId="1" fontId="7" fillId="0" borderId="1" pivotButton="0" quotePrefix="0" xfId="0"/>
    <xf numFmtId="164" fontId="8" fillId="0" borderId="1" pivotButton="0" quotePrefix="0" xfId="0"/>
    <xf numFmtId="165" fontId="4" fillId="4" borderId="0" pivotButton="0" quotePrefix="0" xfId="0"/>
    <xf numFmtId="0" fontId="8" fillId="0" borderId="1" pivotButton="0" quotePrefix="0" xfId="0"/>
    <xf numFmtId="167" fontId="5" fillId="3" borderId="1" pivotButton="0" quotePrefix="0" xfId="0"/>
    <xf numFmtId="0" fontId="7" fillId="0" borderId="0" pivotButton="0" quotePrefix="0" xfId="0"/>
    <xf numFmtId="165" fontId="4" fillId="0" borderId="1" pivotButton="0" quotePrefix="0" xfId="0"/>
    <xf numFmtId="165" fontId="8" fillId="0" borderId="1" pivotButton="0" quotePrefix="0" xfId="0"/>
    <xf numFmtId="165" fontId="9" fillId="5" borderId="1" pivotButton="0" quotePrefix="0" xfId="0"/>
    <xf numFmtId="0" fontId="10" fillId="0" borderId="0" pivotButton="0" quotePrefix="0" xfId="0"/>
    <xf numFmtId="0" fontId="6" fillId="6" borderId="0" pivotButton="0" quotePrefix="0" xfId="0"/>
    <xf numFmtId="168" fontId="7" fillId="0" borderId="1" pivotButton="0" quotePrefix="0" xfId="0"/>
    <xf numFmtId="166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32" customWidth="1" min="1" max="1"/>
  </cols>
  <sheetData>
    <row r="1" ht="24" customHeight="1">
      <c r="A1" s="1" t="inlineStr">
        <is>
          <t>HOW KTU PRICING WORKS — straight from ServiceMinder</t>
        </is>
      </c>
    </row>
    <row r="3">
      <c r="A3" s="2" t="inlineStr">
        <is>
          <t>The formula</t>
        </is>
      </c>
    </row>
    <row r="4" ht="34" customHeight="1">
      <c r="A4" s="3" t="inlineStr">
        <is>
          <t>Quoted price = ( Units x (door material + install labor + hardware) + flat lines + add-ons ) x 1.29, floored at the $2,500 job minimum.</t>
        </is>
      </c>
    </row>
    <row r="5" ht="34" customHeight="1">
      <c r="A5" s="3" t="inlineStr">
        <is>
          <t>The 1.29 is Shop Labor 24% + Shop Overhead 5%. Both are already on every ServiceMinder proposal as their own separate lines — this workbook just does the same math in advance.</t>
        </is>
      </c>
    </row>
    <row r="7">
      <c r="A7" s="2" t="inlineStr">
        <is>
          <t>Why per unit</t>
        </is>
      </c>
    </row>
    <row r="8" ht="34" customHeight="1">
      <c r="A8" s="3" t="inlineStr">
        <is>
          <t>ServiceMinder prices doors and drawer fronts as one combined unit count. A 38-unit kitchen carries 38 door-material lines, 38 labor lines, 38 hardware lines and 38 hardware-install lines. Count the doors and the drawer fronts together and the job prices itself.</t>
        </is>
      </c>
    </row>
    <row r="10">
      <c r="A10" s="2" t="inlineStr">
        <is>
          <t>The three tiers, and what makes them different</t>
        </is>
      </c>
    </row>
    <row r="11" ht="34" customHeight="1">
      <c r="A11" s="3" t="inlineStr">
        <is>
          <t>Tier 1 Redoor — $122.72 material + $60.00 labor per unit. New doors and drawer fronts with new hinges; prep, restore or paint the outside of the existing frames and boxes.</t>
        </is>
      </c>
    </row>
    <row r="12" ht="34" customHeight="1">
      <c r="A12" s="3" t="inlineStr">
        <is>
          <t>Tier 2 Redoor with painted frames — $122.72 material + $82.40 labor per unit. Adds prep, restore and paint of the face frames and the interiors of glass-door cabinets.</t>
        </is>
      </c>
    </row>
    <row r="13" ht="34" customHeight="1">
      <c r="A13" s="3" t="inlineStr">
        <is>
          <t>Tier 3 Reface — $147.72 material + $144.20 labor per unit. Adds prep of the outside of the frames and boxes for new matching material over them.</t>
        </is>
      </c>
    </row>
    <row r="14" ht="34" customHeight="1">
      <c r="A14" s="3" t="inlineStr">
        <is>
          <t>Every tier also carries hardware at $10.30 material + $10.30 install per unit. None of the tiers include the bottoms of wall cabinets or cabinet interiors unless the scope says so.</t>
        </is>
      </c>
    </row>
    <row r="16">
      <c r="A16" s="2" t="inlineStr">
        <is>
          <t>The standard flat lines</t>
        </is>
      </c>
    </row>
    <row r="17" ht="34" customHeight="1">
      <c r="A17" s="3" t="inlineStr">
        <is>
          <t>Disposal of existing doors $350. Shipping and handling $750. Hardware shipping $25. Those three ride on nearly every job and are already in the door-count matrix. The veneer and molding material line (Elias) is job-specific and ranges from about $250 to $3,100 — set it per job.</t>
        </is>
      </c>
    </row>
    <row r="19">
      <c r="A19" s="2" t="inlineStr">
        <is>
          <t>The $2,500 minimum</t>
        </is>
      </c>
    </row>
    <row r="20" ht="34" customHeight="1">
      <c r="A20" s="3" t="inlineStr">
        <is>
          <t>New as of 2026-08-18 and owner-set: no job goes out below $2,500. ServiceMinder itself has no minimum configured on any of the 42 KTU services, so nothing enforces this except us. In practice it only binds on very small jobs — roughly under 7 units at Tier 1 and under 5 at Tier 3 — but those are exactly the jobs where drive time, measure, order minimums and set-up eat the whole margin.</t>
        </is>
      </c>
    </row>
    <row r="21" ht="34" customHeight="1">
      <c r="A21" s="3" t="inlineStr">
        <is>
          <t>When the sheet flags the minimum, treat it as a trade-up moment: the customer is paying $2,500 either way, so move them up a tier or add hardware, rollouts, a trash pullout or under-cabinet lighting and they get real value for the same check.</t>
        </is>
      </c>
    </row>
    <row r="23">
      <c r="A23" s="2" t="inlineStr">
        <is>
          <t>Add-ons</t>
        </is>
      </c>
    </row>
    <row r="24" ht="34" customHeight="1">
      <c r="A24" s="3" t="inlineStr">
        <is>
          <t>Countertops $105/SF, sink cutout $110, ceramic backsplash $65/SF, undermount sink $275, rollout trays $275, trash pullouts $350-$450, Lazy Susan $450, LED light kit $1,400, crown $175/run plus $26.78/piece install, island rear reface $300, fridge panel $300, demo $1,500, wall and ceiling paint $1,200. All of these are live ServiceMinder rates and all ride through the same 1.29.</t>
        </is>
      </c>
    </row>
    <row r="26">
      <c r="A26" s="2" t="inlineStr">
        <is>
          <t>The margin guardrail</t>
        </is>
      </c>
    </row>
    <row r="27" ht="34" customHeight="1">
      <c r="A27" s="3" t="inlineStr">
        <is>
          <t>Every quote estimates crew hours from the unit count and flags any job where direct labor runs over 20% of price — the internal ceiling per service line. A flag means re-check the hours or raise the price before it is signed.</t>
        </is>
      </c>
    </row>
    <row r="29">
      <c r="A29" s="2" t="inlineStr">
        <is>
          <t>Who changes what</t>
        </is>
      </c>
    </row>
    <row r="30" ht="34" customHeight="1">
      <c r="A30" s="3" t="inlineStr">
        <is>
          <t>Reps fill in the yellow cells on Quick Quote only. Rates live on the Rate Card tab and are owner-set, so every rep quotes the same kitchen the same way — and the same way ServiceMinder will bill it.</t>
        </is>
      </c>
    </row>
    <row r="32">
      <c r="A32" s="2" t="inlineStr">
        <is>
          <t>Where the numbers came from</t>
        </is>
      </c>
    </row>
    <row r="33" ht="34" customHeight="1">
      <c r="A33" s="3" t="inlineStr">
        <is>
          <t>Every per-unit rate, flat line and add-on rate in this workbook was read directly from live ServiceMinder KTU invoices on 2026-08-18 — 168 invoices covering 2025-01-01 through 2026-08-18. Nothing here is estimated except the crew-hour figures used by the internal margin check and the $2,500 minimum, which is owner-set.</t>
        </is>
      </c>
    </row>
    <row r="34" ht="34" customHeight="1">
      <c r="A34" s="3" t="inlineStr">
        <is>
          <t>Note on drift: the redoor labor line has been billed at $60.00 and the reface labor line at $144.20 in 2026, while some 2025 jobs carry $60 and $82.40. Door material shows $147.72 (reface), $122.72 (redoor) and occasional $142.72 / $137.45. The Rate Card uses the most-billed current rate for each.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20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KTU RATE CARD — live ServiceMinder rates. Edit the yellow cells; every tab follows them.</t>
        </is>
      </c>
    </row>
    <row r="3">
      <c r="A3" s="4" t="inlineStr">
        <is>
          <t>Per-unit rates are LINE-ITEM prices, one unit = one door OR one drawer front (ServiceMinder counts them together). Shop Labor and Shop Overhead are added on top as their own proposal lines.</t>
        </is>
      </c>
    </row>
    <row r="5" ht="44" customHeight="1">
      <c r="A5" s="5" t="inlineStr">
        <is>
          <t>Tier</t>
        </is>
      </c>
      <c r="B5" s="5" t="inlineStr">
        <is>
          <t>Door / Drawer Front Material ($/unit)</t>
        </is>
      </c>
      <c r="C5" s="5" t="inlineStr">
        <is>
          <t>Install Labor ($/unit)</t>
        </is>
      </c>
      <c r="D5" s="5" t="inlineStr">
        <is>
          <t>Hardware, material + install ($/unit)</t>
        </is>
      </c>
      <c r="E5" s="5" t="inlineStr">
        <is>
          <t>Crew Hrs / unit</t>
        </is>
      </c>
      <c r="F5" s="5" t="inlineStr">
        <is>
          <t>Base Hrs</t>
        </is>
      </c>
      <c r="G5" s="5" t="inlineStr">
        <is>
          <t>Crew Rate $/hr</t>
        </is>
      </c>
    </row>
    <row r="6">
      <c r="A6" s="6" t="inlineStr">
        <is>
          <t>Tier 1 — Redoor</t>
        </is>
      </c>
      <c r="B6" s="7" t="n">
        <v>122.72</v>
      </c>
      <c r="C6" s="7" t="n">
        <v>60</v>
      </c>
      <c r="D6" s="7" t="n">
        <v>20.6</v>
      </c>
      <c r="E6" s="8" t="n">
        <v>0.45</v>
      </c>
      <c r="F6" s="9" t="n">
        <v>6</v>
      </c>
      <c r="G6" s="10" t="n">
        <v>65</v>
      </c>
    </row>
    <row r="7">
      <c r="A7" s="6" t="inlineStr">
        <is>
          <t>Tier 2 — Redoor + Painted Frames</t>
        </is>
      </c>
      <c r="B7" s="7" t="n">
        <v>122.72</v>
      </c>
      <c r="C7" s="7" t="n">
        <v>82.40000000000001</v>
      </c>
      <c r="D7" s="7" t="n">
        <v>20.6</v>
      </c>
      <c r="E7" s="8" t="n">
        <v>0.65</v>
      </c>
      <c r="F7" s="9" t="n">
        <v>8</v>
      </c>
      <c r="G7" s="10" t="n">
        <v>65</v>
      </c>
    </row>
    <row r="8">
      <c r="A8" s="6" t="inlineStr">
        <is>
          <t>Tier 3 — Reface</t>
        </is>
      </c>
      <c r="B8" s="7" t="n">
        <v>147.72</v>
      </c>
      <c r="C8" s="7" t="n">
        <v>144.2</v>
      </c>
      <c r="D8" s="7" t="n">
        <v>20.6</v>
      </c>
      <c r="E8" s="8" t="n">
        <v>0.9</v>
      </c>
      <c r="F8" s="9" t="n">
        <v>12</v>
      </c>
      <c r="G8" s="10" t="n">
        <v>65</v>
      </c>
    </row>
    <row r="10">
      <c r="A10" s="4" t="inlineStr">
        <is>
          <t>Source: every per-unit rate above is a live ServiceMinder KTU invoice line, read 2026-08-18 across 168 invoices (2025-01-01 to 2026-08-18). Material $147.72 reface / $122.72 redoor; labor $144.20 reface, $82.40 redoor-with-painted-frames, $60.00 redoor. Hardware $10.30 material + $10.30 install. Crew hours and the $65/hr Track A rate are internal estimates for the margin check only.</t>
        </is>
      </c>
    </row>
    <row r="12">
      <c r="A12" s="11" t="inlineStr">
        <is>
          <t>SETTINGS</t>
        </is>
      </c>
    </row>
    <row r="13">
      <c r="A13" s="12" t="inlineStr">
        <is>
          <t>Shop Labor %</t>
        </is>
      </c>
      <c r="B13" s="13" t="n">
        <v>0.24</v>
      </c>
      <c r="C13" s="4" t="inlineStr">
        <is>
          <t>Live on every ServiceMinder proposal as its own line</t>
        </is>
      </c>
    </row>
    <row r="14">
      <c r="A14" s="12" t="inlineStr">
        <is>
          <t>Shop Overhead %</t>
        </is>
      </c>
      <c r="B14" s="13" t="n">
        <v>0.05</v>
      </c>
      <c r="C14" s="4" t="inlineStr">
        <is>
          <t>Live on every ServiceMinder proposal as its own line</t>
        </is>
      </c>
    </row>
    <row r="15">
      <c r="A15" s="12" t="inlineStr">
        <is>
          <t>Job minimum ($)</t>
        </is>
      </c>
      <c r="B15" s="10" t="n">
        <v>2500</v>
      </c>
      <c r="C15" s="4" t="inlineStr">
        <is>
          <t>Owner-set 2026-08-18. ServiceMinder has NO minimum configured on any KTU service</t>
        </is>
      </c>
    </row>
    <row r="16">
      <c r="A16" s="12" t="inlineStr">
        <is>
          <t>Deposit %</t>
        </is>
      </c>
      <c r="B16" s="13" t="n">
        <v>0.5</v>
      </c>
      <c r="C16" s="4" t="inlineStr">
        <is>
          <t>Collected at signing</t>
        </is>
      </c>
    </row>
    <row r="17">
      <c r="A17" s="12" t="inlineStr">
        <is>
          <t>Direct labor ceiling %</t>
        </is>
      </c>
      <c r="B17" s="13" t="n">
        <v>0.2</v>
      </c>
      <c r="C17" s="4" t="inlineStr">
        <is>
          <t>Internal target — flag any job above this</t>
        </is>
      </c>
    </row>
    <row r="18">
      <c r="A18" s="12" t="inlineStr">
        <is>
          <t>Standard flat job lines ($)</t>
        </is>
      </c>
      <c r="B18" s="10" t="n">
        <v>1125</v>
      </c>
      <c r="C18" s="4" t="inlineStr">
        <is>
          <t>Disposal $350 + S&amp;H $750 + hardware shipping $25 — used by the matrix</t>
        </is>
      </c>
    </row>
    <row r="20">
      <c r="A20" s="11" t="inlineStr">
        <is>
          <t>WHAT EACH TIER INCLUDES — wording from the live ServiceMinder proposal lines</t>
        </is>
      </c>
    </row>
    <row r="21">
      <c r="A21" s="5" t="inlineStr">
        <is>
          <t>Tier</t>
        </is>
      </c>
      <c r="B21" s="5" t="inlineStr">
        <is>
          <t>Scope</t>
        </is>
      </c>
    </row>
    <row r="22" ht="54" customHeight="1">
      <c r="A22" s="6" t="inlineStr">
        <is>
          <t>Tier 1 — Redoor</t>
        </is>
      </c>
      <c r="B22" s="14" t="inlineStr">
        <is>
          <t>Removal of old doors and installation of new doors with new hinges. Includes prep, restore or paint on the outside of existing cabinet frames and boxes. Not included: bottoms of wall cabinets or cabinet interiors unless in scope. (ServiceMinder redooring labor line, $60/unit.)</t>
        </is>
      </c>
      <c r="C22" s="15" t="n"/>
      <c r="D22" s="15" t="n"/>
      <c r="E22" s="15" t="n"/>
      <c r="F22" s="15" t="n"/>
      <c r="G22" s="16" t="n"/>
    </row>
    <row r="23" ht="54" customHeight="1">
      <c r="A23" s="6" t="inlineStr">
        <is>
          <t>Tier 2 — Redoor + Painted Frames</t>
        </is>
      </c>
      <c r="B23" s="14" t="inlineStr">
        <is>
          <t>Tier 1, plus prep, restore and paint of the cabinet face frames and the interiors of glass-door cabinets. Not included: bottoms of wall cabinets or interiors unless in scope. (ServiceMinder labor line, $82.40/unit.)</t>
        </is>
      </c>
      <c r="C23" s="15" t="n"/>
      <c r="D23" s="15" t="n"/>
      <c r="E23" s="15" t="n"/>
      <c r="F23" s="15" t="n"/>
      <c r="G23" s="16" t="n"/>
    </row>
    <row r="24" ht="54" customHeight="1">
      <c r="A24" s="6" t="inlineStr">
        <is>
          <t>Tier 3 — Reface</t>
        </is>
      </c>
      <c r="B24" s="14" t="inlineStr">
        <is>
          <t>Removal of old doors, installation of new doors with new hinges, plus prep of the outside of cabinet frames and boxes for new matching material. Not included: bottoms of wall cabinets or interiors unless in scope. (ServiceMinder refacing labor line, $144.20/unit.)</t>
        </is>
      </c>
      <c r="C24" s="15" t="n"/>
      <c r="D24" s="15" t="n"/>
      <c r="E24" s="15" t="n"/>
      <c r="F24" s="15" t="n"/>
      <c r="G24" s="16" t="n"/>
    </row>
    <row r="26">
      <c r="A26" s="11" t="inlineStr">
        <is>
          <t>ADD-ONS AND FLAT JOB LINES — all live ServiceMinder rates</t>
        </is>
      </c>
    </row>
    <row r="27">
      <c r="A27" s="5" t="inlineStr">
        <is>
          <t>Add-On</t>
        </is>
      </c>
      <c r="B27" s="5" t="inlineStr">
        <is>
          <t>Unit</t>
        </is>
      </c>
      <c r="C27" s="5" t="inlineStr">
        <is>
          <t>Rate</t>
        </is>
      </c>
      <c r="D27" s="5" t="inlineStr">
        <is>
          <t>Source</t>
        </is>
      </c>
    </row>
    <row r="28">
      <c r="A28" s="17" t="inlineStr">
        <is>
          <t>Disposal of existing doors</t>
        </is>
      </c>
      <c r="B28" s="17" t="inlineStr">
        <is>
          <t>per job</t>
        </is>
      </c>
      <c r="C28" s="7" t="n">
        <v>350</v>
      </c>
      <c r="D28" s="18" t="inlineStr">
        <is>
          <t>SM invoices (16 lines at $350)</t>
        </is>
      </c>
    </row>
    <row r="29">
      <c r="A29" s="17" t="inlineStr">
        <is>
          <t>Shipping &amp; handling</t>
        </is>
      </c>
      <c r="B29" s="17" t="inlineStr">
        <is>
          <t>per job</t>
        </is>
      </c>
      <c r="C29" s="7" t="n">
        <v>750</v>
      </c>
      <c r="D29" s="18" t="inlineStr">
        <is>
          <t>SM invoices (21 lines at $750)</t>
        </is>
      </c>
    </row>
    <row r="30">
      <c r="A30" s="17" t="inlineStr">
        <is>
          <t>Hardware shipping</t>
        </is>
      </c>
      <c r="B30" s="17" t="inlineStr">
        <is>
          <t>per job</t>
        </is>
      </c>
      <c r="C30" s="7" t="n">
        <v>25</v>
      </c>
      <c r="D30" s="18" t="inlineStr">
        <is>
          <t>SM invoices (26 lines at $25)</t>
        </is>
      </c>
    </row>
    <row r="31">
      <c r="A31" s="17" t="inlineStr">
        <is>
          <t>Veneer / molding material (Elias)</t>
        </is>
      </c>
      <c r="B31" s="17" t="inlineStr">
        <is>
          <t>per job</t>
        </is>
      </c>
      <c r="C31" s="7" t="n">
        <v>800</v>
      </c>
      <c r="D31" s="18" t="inlineStr">
        <is>
          <t>SM invoices — varies $250-$3,100, edit per job</t>
        </is>
      </c>
    </row>
    <row r="32">
      <c r="A32" s="17" t="inlineStr">
        <is>
          <t>Quartz or granite countertop</t>
        </is>
      </c>
      <c r="B32" s="17" t="inlineStr">
        <is>
          <t>per SF</t>
        </is>
      </c>
      <c r="C32" s="7" t="n">
        <v>105</v>
      </c>
      <c r="D32" s="18" t="inlineStr">
        <is>
          <t>SM invoices (13 lines at $105; $115 also used)</t>
        </is>
      </c>
    </row>
    <row r="33">
      <c r="A33" s="17" t="inlineStr">
        <is>
          <t>Countertop cutout for sink or cooktop</t>
        </is>
      </c>
      <c r="B33" s="17" t="inlineStr">
        <is>
          <t>each</t>
        </is>
      </c>
      <c r="C33" s="7" t="n">
        <v>110</v>
      </c>
      <c r="D33" s="18" t="inlineStr">
        <is>
          <t>SM invoices (28 lines at $110)</t>
        </is>
      </c>
    </row>
    <row r="34">
      <c r="A34" s="17" t="inlineStr">
        <is>
          <t>Disposal of existing countertop</t>
        </is>
      </c>
      <c r="B34" s="17" t="inlineStr">
        <is>
          <t>per job</t>
        </is>
      </c>
      <c r="C34" s="7" t="n">
        <v>350</v>
      </c>
      <c r="D34" s="18" t="inlineStr">
        <is>
          <t>SM invoices (16 lines at $350)</t>
        </is>
      </c>
    </row>
    <row r="35">
      <c r="A35" s="17" t="inlineStr">
        <is>
          <t>Ceramic tile backsplash</t>
        </is>
      </c>
      <c r="B35" s="17" t="inlineStr">
        <is>
          <t>per SF</t>
        </is>
      </c>
      <c r="C35" s="7" t="n">
        <v>65</v>
      </c>
      <c r="D35" s="18" t="inlineStr">
        <is>
          <t>SM invoices (25 lines at $65)</t>
        </is>
      </c>
    </row>
    <row r="36">
      <c r="A36" s="17" t="inlineStr">
        <is>
          <t>Undermount stainless sink</t>
        </is>
      </c>
      <c r="B36" s="17" t="inlineStr">
        <is>
          <t>each</t>
        </is>
      </c>
      <c r="C36" s="7" t="n">
        <v>275</v>
      </c>
      <c r="D36" s="18" t="inlineStr">
        <is>
          <t>SM invoices (20 lines at $275)</t>
        </is>
      </c>
    </row>
    <row r="37">
      <c r="A37" s="17" t="inlineStr">
        <is>
          <t>Standard rollout trays</t>
        </is>
      </c>
      <c r="B37" s="17" t="inlineStr">
        <is>
          <t>each</t>
        </is>
      </c>
      <c r="C37" s="7" t="n">
        <v>275</v>
      </c>
      <c r="D37" s="18" t="inlineStr">
        <is>
          <t>SM invoices (many lines at $275)</t>
        </is>
      </c>
    </row>
    <row r="38">
      <c r="A38" s="17" t="inlineStr">
        <is>
          <t>Trash pullout — single 50qt</t>
        </is>
      </c>
      <c r="B38" s="17" t="inlineStr">
        <is>
          <t>each</t>
        </is>
      </c>
      <c r="C38" s="7" t="n">
        <v>350</v>
      </c>
      <c r="D38" s="18" t="inlineStr">
        <is>
          <t>SM invoices (4 lines at $350)</t>
        </is>
      </c>
    </row>
    <row r="39">
      <c r="A39" s="17" t="inlineStr">
        <is>
          <t>Trash pullout — double 35qt</t>
        </is>
      </c>
      <c r="B39" s="17" t="inlineStr">
        <is>
          <t>each</t>
        </is>
      </c>
      <c r="C39" s="7" t="n">
        <v>450</v>
      </c>
      <c r="D39" s="18" t="inlineStr">
        <is>
          <t>SM invoices (8 lines at $450)</t>
        </is>
      </c>
    </row>
    <row r="40">
      <c r="A40" s="17" t="inlineStr">
        <is>
          <t>Two-tier Lazy Susan</t>
        </is>
      </c>
      <c r="B40" s="17" t="inlineStr">
        <is>
          <t>each</t>
        </is>
      </c>
      <c r="C40" s="7" t="n">
        <v>450</v>
      </c>
      <c r="D40" s="18" t="inlineStr">
        <is>
          <t>SM invoices ($400-$625 range)</t>
        </is>
      </c>
    </row>
    <row r="41">
      <c r="A41" s="17" t="inlineStr">
        <is>
          <t>Undercabinet LED light kit</t>
        </is>
      </c>
      <c r="B41" s="17" t="inlineStr">
        <is>
          <t>per job</t>
        </is>
      </c>
      <c r="C41" s="7" t="n">
        <v>1400</v>
      </c>
      <c r="D41" s="18" t="inlineStr">
        <is>
          <t>SM invoices (4 lines at $1,400; $1,200 also used)</t>
        </is>
      </c>
    </row>
    <row r="42">
      <c r="A42" s="17" t="inlineStr">
        <is>
          <t>Add crown to wall cabinets</t>
        </is>
      </c>
      <c r="B42" s="17" t="inlineStr">
        <is>
          <t>per run</t>
        </is>
      </c>
      <c r="C42" s="7" t="n">
        <v>175</v>
      </c>
      <c r="D42" s="18" t="inlineStr">
        <is>
          <t>SM invoices (6 lines at $175)</t>
        </is>
      </c>
    </row>
    <row r="43">
      <c r="A43" s="17" t="inlineStr">
        <is>
          <t>Crown molding install</t>
        </is>
      </c>
      <c r="B43" s="17" t="inlineStr">
        <is>
          <t>per piece</t>
        </is>
      </c>
      <c r="C43" s="7" t="n">
        <v>26.78</v>
      </c>
      <c r="D43" s="18" t="inlineStr">
        <is>
          <t>SM invoices (26 lines at $26.78)</t>
        </is>
      </c>
    </row>
    <row r="44">
      <c r="A44" s="17" t="inlineStr">
        <is>
          <t>Light rail molding</t>
        </is>
      </c>
      <c r="B44" s="17" t="inlineStr">
        <is>
          <t>per run</t>
        </is>
      </c>
      <c r="C44" s="7" t="n">
        <v>110</v>
      </c>
      <c r="D44" s="18" t="inlineStr">
        <is>
          <t>SM invoices (8 lines at $110)</t>
        </is>
      </c>
    </row>
    <row r="45">
      <c r="A45" s="17" t="inlineStr">
        <is>
          <t>Light rail install</t>
        </is>
      </c>
      <c r="B45" s="17" t="inlineStr">
        <is>
          <t>per piece</t>
        </is>
      </c>
      <c r="C45" s="7" t="n">
        <v>26.78</v>
      </c>
      <c r="D45" s="18" t="inlineStr">
        <is>
          <t>SM invoices (8 lines at $26.78)</t>
        </is>
      </c>
    </row>
    <row r="46">
      <c r="A46" s="17" t="inlineStr">
        <is>
          <t>Reface rear of island</t>
        </is>
      </c>
      <c r="B46" s="17" t="inlineStr">
        <is>
          <t>per island</t>
        </is>
      </c>
      <c r="C46" s="7" t="n">
        <v>300</v>
      </c>
      <c r="D46" s="18" t="inlineStr">
        <is>
          <t>SM invoices (7 lines at $300)</t>
        </is>
      </c>
    </row>
    <row r="47">
      <c r="A47" s="17" t="inlineStr">
        <is>
          <t>Refrigerator wall panel</t>
        </is>
      </c>
      <c r="B47" s="17" t="inlineStr">
        <is>
          <t>each</t>
        </is>
      </c>
      <c r="C47" s="7" t="n">
        <v>300</v>
      </c>
      <c r="D47" s="18" t="inlineStr">
        <is>
          <t>SM invoices (6 lines at $300)</t>
        </is>
      </c>
    </row>
    <row r="48">
      <c r="A48" s="17" t="inlineStr">
        <is>
          <t>Reface underside of wall cabinets</t>
        </is>
      </c>
      <c r="B48" s="17" t="inlineStr">
        <is>
          <t>per job</t>
        </is>
      </c>
      <c r="C48" s="7" t="n">
        <v>170</v>
      </c>
      <c r="D48" s="18" t="inlineStr">
        <is>
          <t>SM invoices (3 lines at $170)</t>
        </is>
      </c>
    </row>
    <row r="49">
      <c r="A49" s="17" t="inlineStr">
        <is>
          <t>42" wall cabinet upcharge</t>
        </is>
      </c>
      <c r="B49" s="17" t="inlineStr">
        <is>
          <t>each</t>
        </is>
      </c>
      <c r="C49" s="7" t="n">
        <v>125</v>
      </c>
      <c r="D49" s="18" t="inlineStr">
        <is>
          <t>SM invoices (2 lines at $125)</t>
        </is>
      </c>
    </row>
    <row r="50">
      <c r="A50" s="17" t="inlineStr">
        <is>
          <t>Matching end door panels</t>
        </is>
      </c>
      <c r="B50" s="17" t="inlineStr">
        <is>
          <t>per job</t>
        </is>
      </c>
      <c r="C50" s="7" t="n">
        <v>200</v>
      </c>
      <c r="D50" s="18" t="inlineStr">
        <is>
          <t>SM invoices ($200-$250)</t>
        </is>
      </c>
    </row>
    <row r="51">
      <c r="A51" s="17" t="inlineStr">
        <is>
          <t>Drawer box upgrade</t>
        </is>
      </c>
      <c r="B51" s="17" t="inlineStr">
        <is>
          <t>each</t>
        </is>
      </c>
      <c r="C51" s="7" t="n">
        <v>250</v>
      </c>
      <c r="D51" s="18" t="inlineStr">
        <is>
          <t>SM invoices (multiple lines at $250)</t>
        </is>
      </c>
    </row>
    <row r="52">
      <c r="A52" s="17" t="inlineStr">
        <is>
          <t>Repair drywall and spackle</t>
        </is>
      </c>
      <c r="B52" s="17" t="inlineStr">
        <is>
          <t>per area</t>
        </is>
      </c>
      <c r="C52" s="7" t="n">
        <v>400</v>
      </c>
      <c r="D52" s="18" t="inlineStr">
        <is>
          <t>SM invoices (3 lines at $400)</t>
        </is>
      </c>
    </row>
    <row r="53">
      <c r="A53" s="17" t="inlineStr">
        <is>
          <t>Paint kitchen walls and ceiling</t>
        </is>
      </c>
      <c r="B53" s="17" t="inlineStr">
        <is>
          <t>per job</t>
        </is>
      </c>
      <c r="C53" s="7" t="n">
        <v>1200</v>
      </c>
      <c r="D53" s="18" t="inlineStr">
        <is>
          <t>SM invoices ($950-$1,900 range)</t>
        </is>
      </c>
    </row>
    <row r="54">
      <c r="A54" s="17" t="inlineStr">
        <is>
          <t>Paint window and door trims</t>
        </is>
      </c>
      <c r="B54" s="17" t="inlineStr">
        <is>
          <t>per job</t>
        </is>
      </c>
      <c r="C54" s="7" t="n">
        <v>300</v>
      </c>
      <c r="D54" s="18" t="inlineStr">
        <is>
          <t>SM invoices (multiple lines at $300)</t>
        </is>
      </c>
    </row>
    <row r="55">
      <c r="A55" s="17" t="inlineStr">
        <is>
          <t>Remove existing kitchen (demo)</t>
        </is>
      </c>
      <c r="B55" s="17" t="inlineStr">
        <is>
          <t>per job</t>
        </is>
      </c>
      <c r="C55" s="7" t="n">
        <v>1500</v>
      </c>
      <c r="D55" s="18" t="inlineStr">
        <is>
          <t>SM invoices (6 lines at $1,500)</t>
        </is>
      </c>
    </row>
    <row r="56">
      <c r="A56" s="17" t="inlineStr">
        <is>
          <t>Plank flooring install</t>
        </is>
      </c>
      <c r="B56" s="17" t="inlineStr">
        <is>
          <t>per SF</t>
        </is>
      </c>
      <c r="C56" s="7" t="n">
        <v>5.25</v>
      </c>
      <c r="D56" s="18" t="inlineStr">
        <is>
          <t>SM invoices (5 lines at $5.25)</t>
        </is>
      </c>
    </row>
    <row r="57">
      <c r="A57" s="17" t="inlineStr">
        <is>
          <t>Luxury vinyl plank material</t>
        </is>
      </c>
      <c r="B57" s="17" t="inlineStr">
        <is>
          <t>per SF</t>
        </is>
      </c>
      <c r="C57" s="7" t="n">
        <v>6.5</v>
      </c>
      <c r="D57" s="18" t="inlineStr">
        <is>
          <t>SM invoices (6 lines at $6.50)</t>
        </is>
      </c>
    </row>
  </sheetData>
  <mergeCells count="4">
    <mergeCell ref="B22:G22"/>
    <mergeCell ref="B24:G24"/>
    <mergeCell ref="A1:G1"/>
    <mergeCell ref="B23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4" customHeight="1">
      <c r="A1" s="1" t="inlineStr">
        <is>
          <t>PRICE BY DOOR COUNT — all-in, including hardware, the standard flat lines, Shop Labor, Overhead and the $2,500 minimum</t>
        </is>
      </c>
    </row>
    <row r="3" ht="28" customHeight="1">
      <c r="A3" s="4" t="inlineStr">
        <is>
          <t>Units = doors + drawer fronts (count them together, the way ServiceMinder does). Includes the standard flat lines (disposal $350 + shipping $750 + hardware shipping $25). Countertops, backsplash, accessories, lighting, paint and demo are extra — add them on the Quick Quote tab. Shaded = the $2,500 minimum set the price.</t>
        </is>
      </c>
    </row>
    <row r="5" ht="44" customHeight="1">
      <c r="A5" s="5" t="inlineStr">
        <is>
          <t>Units (doors + drawer fronts)</t>
        </is>
      </c>
      <c r="B5" s="5" t="inlineStr">
        <is>
          <t>Tier 1 — Redoor</t>
        </is>
      </c>
      <c r="C5" s="5" t="inlineStr">
        <is>
          <t>Tier 2 — Redoor + Painted Frames</t>
        </is>
      </c>
      <c r="D5" s="5" t="inlineStr">
        <is>
          <t>Tier 3 — Reface</t>
        </is>
      </c>
      <c r="E5" s="5" t="inlineStr">
        <is>
          <t>T1 per unit</t>
        </is>
      </c>
      <c r="F5" s="5" t="inlineStr">
        <is>
          <t>T2 per unit</t>
        </is>
      </c>
      <c r="G5" s="5" t="inlineStr">
        <is>
          <t>T3 per unit</t>
        </is>
      </c>
    </row>
    <row r="6">
      <c r="A6" s="19" t="n">
        <v>6</v>
      </c>
      <c r="B6" s="20">
        <f>MAX('Rate Card'!$B$15,('Rate Card'!$B$18+$A6*('Rate Card'!$B$6+'Rate Card'!$C$6+'Rate Card'!$D$6))*(1+'Rate Card'!$B$13+'Rate Card'!$B$14))</f>
        <v/>
      </c>
      <c r="C6" s="20">
        <f>MAX('Rate Card'!$B$15,('Rate Card'!$B$18+$A6*('Rate Card'!$B$7+'Rate Card'!$C$7+'Rate Card'!$D$7))*(1+'Rate Card'!$B$13+'Rate Card'!$B$14))</f>
        <v/>
      </c>
      <c r="D6" s="20">
        <f>MAX('Rate Card'!$B$15,('Rate Card'!$B$18+$A6*('Rate Card'!$B$8+'Rate Card'!$C$8+'Rate Card'!$D$8))*(1+'Rate Card'!$B$13+'Rate Card'!$B$14))</f>
        <v/>
      </c>
      <c r="E6" s="20">
        <f>B6/$A6</f>
        <v/>
      </c>
      <c r="F6" s="20">
        <f>C6/$A6</f>
        <v/>
      </c>
      <c r="G6" s="20">
        <f>D6/$A6</f>
        <v/>
      </c>
    </row>
    <row r="7">
      <c r="A7" s="19" t="n">
        <v>8</v>
      </c>
      <c r="B7" s="20">
        <f>MAX('Rate Card'!$B$15,('Rate Card'!$B$18+$A7*('Rate Card'!$B$6+'Rate Card'!$C$6+'Rate Card'!$D$6))*(1+'Rate Card'!$B$13+'Rate Card'!$B$14))</f>
        <v/>
      </c>
      <c r="C7" s="20">
        <f>MAX('Rate Card'!$B$15,('Rate Card'!$B$18+$A7*('Rate Card'!$B$7+'Rate Card'!$C$7+'Rate Card'!$D$7))*(1+'Rate Card'!$B$13+'Rate Card'!$B$14))</f>
        <v/>
      </c>
      <c r="D7" s="20">
        <f>MAX('Rate Card'!$B$15,('Rate Card'!$B$18+$A7*('Rate Card'!$B$8+'Rate Card'!$C$8+'Rate Card'!$D$8))*(1+'Rate Card'!$B$13+'Rate Card'!$B$14))</f>
        <v/>
      </c>
      <c r="E7" s="20">
        <f>B7/$A7</f>
        <v/>
      </c>
      <c r="F7" s="20">
        <f>C7/$A7</f>
        <v/>
      </c>
      <c r="G7" s="20">
        <f>D7/$A7</f>
        <v/>
      </c>
    </row>
    <row r="8">
      <c r="A8" s="19" t="n">
        <v>10</v>
      </c>
      <c r="B8" s="20">
        <f>MAX('Rate Card'!$B$15,('Rate Card'!$B$18+$A8*('Rate Card'!$B$6+'Rate Card'!$C$6+'Rate Card'!$D$6))*(1+'Rate Card'!$B$13+'Rate Card'!$B$14))</f>
        <v/>
      </c>
      <c r="C8" s="20">
        <f>MAX('Rate Card'!$B$15,('Rate Card'!$B$18+$A8*('Rate Card'!$B$7+'Rate Card'!$C$7+'Rate Card'!$D$7))*(1+'Rate Card'!$B$13+'Rate Card'!$B$14))</f>
        <v/>
      </c>
      <c r="D8" s="20">
        <f>MAX('Rate Card'!$B$15,('Rate Card'!$B$18+$A8*('Rate Card'!$B$8+'Rate Card'!$C$8+'Rate Card'!$D$8))*(1+'Rate Card'!$B$13+'Rate Card'!$B$14))</f>
        <v/>
      </c>
      <c r="E8" s="20">
        <f>B8/$A8</f>
        <v/>
      </c>
      <c r="F8" s="20">
        <f>C8/$A8</f>
        <v/>
      </c>
      <c r="G8" s="20">
        <f>D8/$A8</f>
        <v/>
      </c>
    </row>
    <row r="9">
      <c r="A9" s="19" t="n">
        <v>12</v>
      </c>
      <c r="B9" s="20">
        <f>MAX('Rate Card'!$B$15,('Rate Card'!$B$18+$A9*('Rate Card'!$B$6+'Rate Card'!$C$6+'Rate Card'!$D$6))*(1+'Rate Card'!$B$13+'Rate Card'!$B$14))</f>
        <v/>
      </c>
      <c r="C9" s="20">
        <f>MAX('Rate Card'!$B$15,('Rate Card'!$B$18+$A9*('Rate Card'!$B$7+'Rate Card'!$C$7+'Rate Card'!$D$7))*(1+'Rate Card'!$B$13+'Rate Card'!$B$14))</f>
        <v/>
      </c>
      <c r="D9" s="20">
        <f>MAX('Rate Card'!$B$15,('Rate Card'!$B$18+$A9*('Rate Card'!$B$8+'Rate Card'!$C$8+'Rate Card'!$D$8))*(1+'Rate Card'!$B$13+'Rate Card'!$B$14))</f>
        <v/>
      </c>
      <c r="E9" s="20">
        <f>B9/$A9</f>
        <v/>
      </c>
      <c r="F9" s="20">
        <f>C9/$A9</f>
        <v/>
      </c>
      <c r="G9" s="20">
        <f>D9/$A9</f>
        <v/>
      </c>
    </row>
    <row r="10">
      <c r="A10" s="19" t="n">
        <v>14</v>
      </c>
      <c r="B10" s="20">
        <f>MAX('Rate Card'!$B$15,('Rate Card'!$B$18+$A10*('Rate Card'!$B$6+'Rate Card'!$C$6+'Rate Card'!$D$6))*(1+'Rate Card'!$B$13+'Rate Card'!$B$14))</f>
        <v/>
      </c>
      <c r="C10" s="20">
        <f>MAX('Rate Card'!$B$15,('Rate Card'!$B$18+$A10*('Rate Card'!$B$7+'Rate Card'!$C$7+'Rate Card'!$D$7))*(1+'Rate Card'!$B$13+'Rate Card'!$B$14))</f>
        <v/>
      </c>
      <c r="D10" s="20">
        <f>MAX('Rate Card'!$B$15,('Rate Card'!$B$18+$A10*('Rate Card'!$B$8+'Rate Card'!$C$8+'Rate Card'!$D$8))*(1+'Rate Card'!$B$13+'Rate Card'!$B$14))</f>
        <v/>
      </c>
      <c r="E10" s="20">
        <f>B10/$A10</f>
        <v/>
      </c>
      <c r="F10" s="20">
        <f>C10/$A10</f>
        <v/>
      </c>
      <c r="G10" s="20">
        <f>D10/$A10</f>
        <v/>
      </c>
    </row>
    <row r="11">
      <c r="A11" s="19" t="n">
        <v>16</v>
      </c>
      <c r="B11" s="20">
        <f>MAX('Rate Card'!$B$15,('Rate Card'!$B$18+$A11*('Rate Card'!$B$6+'Rate Card'!$C$6+'Rate Card'!$D$6))*(1+'Rate Card'!$B$13+'Rate Card'!$B$14))</f>
        <v/>
      </c>
      <c r="C11" s="20">
        <f>MAX('Rate Card'!$B$15,('Rate Card'!$B$18+$A11*('Rate Card'!$B$7+'Rate Card'!$C$7+'Rate Card'!$D$7))*(1+'Rate Card'!$B$13+'Rate Card'!$B$14))</f>
        <v/>
      </c>
      <c r="D11" s="20">
        <f>MAX('Rate Card'!$B$15,('Rate Card'!$B$18+$A11*('Rate Card'!$B$8+'Rate Card'!$C$8+'Rate Card'!$D$8))*(1+'Rate Card'!$B$13+'Rate Card'!$B$14))</f>
        <v/>
      </c>
      <c r="E11" s="20">
        <f>B11/$A11</f>
        <v/>
      </c>
      <c r="F11" s="20">
        <f>C11/$A11</f>
        <v/>
      </c>
      <c r="G11" s="20">
        <f>D11/$A11</f>
        <v/>
      </c>
    </row>
    <row r="12">
      <c r="A12" s="19" t="n">
        <v>18</v>
      </c>
      <c r="B12" s="20">
        <f>MAX('Rate Card'!$B$15,('Rate Card'!$B$18+$A12*('Rate Card'!$B$6+'Rate Card'!$C$6+'Rate Card'!$D$6))*(1+'Rate Card'!$B$13+'Rate Card'!$B$14))</f>
        <v/>
      </c>
      <c r="C12" s="20">
        <f>MAX('Rate Card'!$B$15,('Rate Card'!$B$18+$A12*('Rate Card'!$B$7+'Rate Card'!$C$7+'Rate Card'!$D$7))*(1+'Rate Card'!$B$13+'Rate Card'!$B$14))</f>
        <v/>
      </c>
      <c r="D12" s="20">
        <f>MAX('Rate Card'!$B$15,('Rate Card'!$B$18+$A12*('Rate Card'!$B$8+'Rate Card'!$C$8+'Rate Card'!$D$8))*(1+'Rate Card'!$B$13+'Rate Card'!$B$14))</f>
        <v/>
      </c>
      <c r="E12" s="20">
        <f>B12/$A12</f>
        <v/>
      </c>
      <c r="F12" s="20">
        <f>C12/$A12</f>
        <v/>
      </c>
      <c r="G12" s="20">
        <f>D12/$A12</f>
        <v/>
      </c>
    </row>
    <row r="13">
      <c r="A13" s="19" t="n">
        <v>20</v>
      </c>
      <c r="B13" s="20">
        <f>MAX('Rate Card'!$B$15,('Rate Card'!$B$18+$A13*('Rate Card'!$B$6+'Rate Card'!$C$6+'Rate Card'!$D$6))*(1+'Rate Card'!$B$13+'Rate Card'!$B$14))</f>
        <v/>
      </c>
      <c r="C13" s="20">
        <f>MAX('Rate Card'!$B$15,('Rate Card'!$B$18+$A13*('Rate Card'!$B$7+'Rate Card'!$C$7+'Rate Card'!$D$7))*(1+'Rate Card'!$B$13+'Rate Card'!$B$14))</f>
        <v/>
      </c>
      <c r="D13" s="20">
        <f>MAX('Rate Card'!$B$15,('Rate Card'!$B$18+$A13*('Rate Card'!$B$8+'Rate Card'!$C$8+'Rate Card'!$D$8))*(1+'Rate Card'!$B$13+'Rate Card'!$B$14))</f>
        <v/>
      </c>
      <c r="E13" s="20">
        <f>B13/$A13</f>
        <v/>
      </c>
      <c r="F13" s="20">
        <f>C13/$A13</f>
        <v/>
      </c>
      <c r="G13" s="20">
        <f>D13/$A13</f>
        <v/>
      </c>
    </row>
    <row r="14">
      <c r="A14" s="19" t="n">
        <v>22</v>
      </c>
      <c r="B14" s="20">
        <f>MAX('Rate Card'!$B$15,('Rate Card'!$B$18+$A14*('Rate Card'!$B$6+'Rate Card'!$C$6+'Rate Card'!$D$6))*(1+'Rate Card'!$B$13+'Rate Card'!$B$14))</f>
        <v/>
      </c>
      <c r="C14" s="20">
        <f>MAX('Rate Card'!$B$15,('Rate Card'!$B$18+$A14*('Rate Card'!$B$7+'Rate Card'!$C$7+'Rate Card'!$D$7))*(1+'Rate Card'!$B$13+'Rate Card'!$B$14))</f>
        <v/>
      </c>
      <c r="D14" s="20">
        <f>MAX('Rate Card'!$B$15,('Rate Card'!$B$18+$A14*('Rate Card'!$B$8+'Rate Card'!$C$8+'Rate Card'!$D$8))*(1+'Rate Card'!$B$13+'Rate Card'!$B$14))</f>
        <v/>
      </c>
      <c r="E14" s="20">
        <f>B14/$A14</f>
        <v/>
      </c>
      <c r="F14" s="20">
        <f>C14/$A14</f>
        <v/>
      </c>
      <c r="G14" s="20">
        <f>D14/$A14</f>
        <v/>
      </c>
    </row>
    <row r="15">
      <c r="A15" s="19" t="n">
        <v>24</v>
      </c>
      <c r="B15" s="20">
        <f>MAX('Rate Card'!$B$15,('Rate Card'!$B$18+$A15*('Rate Card'!$B$6+'Rate Card'!$C$6+'Rate Card'!$D$6))*(1+'Rate Card'!$B$13+'Rate Card'!$B$14))</f>
        <v/>
      </c>
      <c r="C15" s="20">
        <f>MAX('Rate Card'!$B$15,('Rate Card'!$B$18+$A15*('Rate Card'!$B$7+'Rate Card'!$C$7+'Rate Card'!$D$7))*(1+'Rate Card'!$B$13+'Rate Card'!$B$14))</f>
        <v/>
      </c>
      <c r="D15" s="20">
        <f>MAX('Rate Card'!$B$15,('Rate Card'!$B$18+$A15*('Rate Card'!$B$8+'Rate Card'!$C$8+'Rate Card'!$D$8))*(1+'Rate Card'!$B$13+'Rate Card'!$B$14))</f>
        <v/>
      </c>
      <c r="E15" s="20">
        <f>B15/$A15</f>
        <v/>
      </c>
      <c r="F15" s="20">
        <f>C15/$A15</f>
        <v/>
      </c>
      <c r="G15" s="20">
        <f>D15/$A15</f>
        <v/>
      </c>
    </row>
    <row r="16">
      <c r="A16" s="19" t="n">
        <v>26</v>
      </c>
      <c r="B16" s="20">
        <f>MAX('Rate Card'!$B$15,('Rate Card'!$B$18+$A16*('Rate Card'!$B$6+'Rate Card'!$C$6+'Rate Card'!$D$6))*(1+'Rate Card'!$B$13+'Rate Card'!$B$14))</f>
        <v/>
      </c>
      <c r="C16" s="20">
        <f>MAX('Rate Card'!$B$15,('Rate Card'!$B$18+$A16*('Rate Card'!$B$7+'Rate Card'!$C$7+'Rate Card'!$D$7))*(1+'Rate Card'!$B$13+'Rate Card'!$B$14))</f>
        <v/>
      </c>
      <c r="D16" s="20">
        <f>MAX('Rate Card'!$B$15,('Rate Card'!$B$18+$A16*('Rate Card'!$B$8+'Rate Card'!$C$8+'Rate Card'!$D$8))*(1+'Rate Card'!$B$13+'Rate Card'!$B$14))</f>
        <v/>
      </c>
      <c r="E16" s="20">
        <f>B16/$A16</f>
        <v/>
      </c>
      <c r="F16" s="20">
        <f>C16/$A16</f>
        <v/>
      </c>
      <c r="G16" s="20">
        <f>D16/$A16</f>
        <v/>
      </c>
    </row>
    <row r="17">
      <c r="A17" s="19" t="n">
        <v>28</v>
      </c>
      <c r="B17" s="20">
        <f>MAX('Rate Card'!$B$15,('Rate Card'!$B$18+$A17*('Rate Card'!$B$6+'Rate Card'!$C$6+'Rate Card'!$D$6))*(1+'Rate Card'!$B$13+'Rate Card'!$B$14))</f>
        <v/>
      </c>
      <c r="C17" s="20">
        <f>MAX('Rate Card'!$B$15,('Rate Card'!$B$18+$A17*('Rate Card'!$B$7+'Rate Card'!$C$7+'Rate Card'!$D$7))*(1+'Rate Card'!$B$13+'Rate Card'!$B$14))</f>
        <v/>
      </c>
      <c r="D17" s="20">
        <f>MAX('Rate Card'!$B$15,('Rate Card'!$B$18+$A17*('Rate Card'!$B$8+'Rate Card'!$C$8+'Rate Card'!$D$8))*(1+'Rate Card'!$B$13+'Rate Card'!$B$14))</f>
        <v/>
      </c>
      <c r="E17" s="20">
        <f>B17/$A17</f>
        <v/>
      </c>
      <c r="F17" s="20">
        <f>C17/$A17</f>
        <v/>
      </c>
      <c r="G17" s="20">
        <f>D17/$A17</f>
        <v/>
      </c>
    </row>
    <row r="18">
      <c r="A18" s="19" t="n">
        <v>30</v>
      </c>
      <c r="B18" s="20">
        <f>MAX('Rate Card'!$B$15,('Rate Card'!$B$18+$A18*('Rate Card'!$B$6+'Rate Card'!$C$6+'Rate Card'!$D$6))*(1+'Rate Card'!$B$13+'Rate Card'!$B$14))</f>
        <v/>
      </c>
      <c r="C18" s="20">
        <f>MAX('Rate Card'!$B$15,('Rate Card'!$B$18+$A18*('Rate Card'!$B$7+'Rate Card'!$C$7+'Rate Card'!$D$7))*(1+'Rate Card'!$B$13+'Rate Card'!$B$14))</f>
        <v/>
      </c>
      <c r="D18" s="20">
        <f>MAX('Rate Card'!$B$15,('Rate Card'!$B$18+$A18*('Rate Card'!$B$8+'Rate Card'!$C$8+'Rate Card'!$D$8))*(1+'Rate Card'!$B$13+'Rate Card'!$B$14))</f>
        <v/>
      </c>
      <c r="E18" s="20">
        <f>B18/$A18</f>
        <v/>
      </c>
      <c r="F18" s="20">
        <f>C18/$A18</f>
        <v/>
      </c>
      <c r="G18" s="20">
        <f>D18/$A18</f>
        <v/>
      </c>
    </row>
    <row r="19">
      <c r="A19" s="19" t="n">
        <v>32</v>
      </c>
      <c r="B19" s="20">
        <f>MAX('Rate Card'!$B$15,('Rate Card'!$B$18+$A19*('Rate Card'!$B$6+'Rate Card'!$C$6+'Rate Card'!$D$6))*(1+'Rate Card'!$B$13+'Rate Card'!$B$14))</f>
        <v/>
      </c>
      <c r="C19" s="20">
        <f>MAX('Rate Card'!$B$15,('Rate Card'!$B$18+$A19*('Rate Card'!$B$7+'Rate Card'!$C$7+'Rate Card'!$D$7))*(1+'Rate Card'!$B$13+'Rate Card'!$B$14))</f>
        <v/>
      </c>
      <c r="D19" s="20">
        <f>MAX('Rate Card'!$B$15,('Rate Card'!$B$18+$A19*('Rate Card'!$B$8+'Rate Card'!$C$8+'Rate Card'!$D$8))*(1+'Rate Card'!$B$13+'Rate Card'!$B$14))</f>
        <v/>
      </c>
      <c r="E19" s="20">
        <f>B19/$A19</f>
        <v/>
      </c>
      <c r="F19" s="20">
        <f>C19/$A19</f>
        <v/>
      </c>
      <c r="G19" s="20">
        <f>D19/$A19</f>
        <v/>
      </c>
    </row>
    <row r="20">
      <c r="A20" s="19" t="n">
        <v>34</v>
      </c>
      <c r="B20" s="20">
        <f>MAX('Rate Card'!$B$15,('Rate Card'!$B$18+$A20*('Rate Card'!$B$6+'Rate Card'!$C$6+'Rate Card'!$D$6))*(1+'Rate Card'!$B$13+'Rate Card'!$B$14))</f>
        <v/>
      </c>
      <c r="C20" s="20">
        <f>MAX('Rate Card'!$B$15,('Rate Card'!$B$18+$A20*('Rate Card'!$B$7+'Rate Card'!$C$7+'Rate Card'!$D$7))*(1+'Rate Card'!$B$13+'Rate Card'!$B$14))</f>
        <v/>
      </c>
      <c r="D20" s="20">
        <f>MAX('Rate Card'!$B$15,('Rate Card'!$B$18+$A20*('Rate Card'!$B$8+'Rate Card'!$C$8+'Rate Card'!$D$8))*(1+'Rate Card'!$B$13+'Rate Card'!$B$14))</f>
        <v/>
      </c>
      <c r="E20" s="20">
        <f>B20/$A20</f>
        <v/>
      </c>
      <c r="F20" s="20">
        <f>C20/$A20</f>
        <v/>
      </c>
      <c r="G20" s="20">
        <f>D20/$A20</f>
        <v/>
      </c>
    </row>
    <row r="21">
      <c r="A21" s="19" t="n">
        <v>36</v>
      </c>
      <c r="B21" s="20">
        <f>MAX('Rate Card'!$B$15,('Rate Card'!$B$18+$A21*('Rate Card'!$B$6+'Rate Card'!$C$6+'Rate Card'!$D$6))*(1+'Rate Card'!$B$13+'Rate Card'!$B$14))</f>
        <v/>
      </c>
      <c r="C21" s="20">
        <f>MAX('Rate Card'!$B$15,('Rate Card'!$B$18+$A21*('Rate Card'!$B$7+'Rate Card'!$C$7+'Rate Card'!$D$7))*(1+'Rate Card'!$B$13+'Rate Card'!$B$14))</f>
        <v/>
      </c>
      <c r="D21" s="20">
        <f>MAX('Rate Card'!$B$15,('Rate Card'!$B$18+$A21*('Rate Card'!$B$8+'Rate Card'!$C$8+'Rate Card'!$D$8))*(1+'Rate Card'!$B$13+'Rate Card'!$B$14))</f>
        <v/>
      </c>
      <c r="E21" s="20">
        <f>B21/$A21</f>
        <v/>
      </c>
      <c r="F21" s="20">
        <f>C21/$A21</f>
        <v/>
      </c>
      <c r="G21" s="20">
        <f>D21/$A21</f>
        <v/>
      </c>
    </row>
    <row r="22">
      <c r="A22" s="19" t="n">
        <v>38</v>
      </c>
      <c r="B22" s="20">
        <f>MAX('Rate Card'!$B$15,('Rate Card'!$B$18+$A22*('Rate Card'!$B$6+'Rate Card'!$C$6+'Rate Card'!$D$6))*(1+'Rate Card'!$B$13+'Rate Card'!$B$14))</f>
        <v/>
      </c>
      <c r="C22" s="20">
        <f>MAX('Rate Card'!$B$15,('Rate Card'!$B$18+$A22*('Rate Card'!$B$7+'Rate Card'!$C$7+'Rate Card'!$D$7))*(1+'Rate Card'!$B$13+'Rate Card'!$B$14))</f>
        <v/>
      </c>
      <c r="D22" s="20">
        <f>MAX('Rate Card'!$B$15,('Rate Card'!$B$18+$A22*('Rate Card'!$B$8+'Rate Card'!$C$8+'Rate Card'!$D$8))*(1+'Rate Card'!$B$13+'Rate Card'!$B$14))</f>
        <v/>
      </c>
      <c r="E22" s="20">
        <f>B22/$A22</f>
        <v/>
      </c>
      <c r="F22" s="20">
        <f>C22/$A22</f>
        <v/>
      </c>
      <c r="G22" s="20">
        <f>D22/$A22</f>
        <v/>
      </c>
    </row>
    <row r="23">
      <c r="A23" s="19" t="n">
        <v>40</v>
      </c>
      <c r="B23" s="20">
        <f>MAX('Rate Card'!$B$15,('Rate Card'!$B$18+$A23*('Rate Card'!$B$6+'Rate Card'!$C$6+'Rate Card'!$D$6))*(1+'Rate Card'!$B$13+'Rate Card'!$B$14))</f>
        <v/>
      </c>
      <c r="C23" s="20">
        <f>MAX('Rate Card'!$B$15,('Rate Card'!$B$18+$A23*('Rate Card'!$B$7+'Rate Card'!$C$7+'Rate Card'!$D$7))*(1+'Rate Card'!$B$13+'Rate Card'!$B$14))</f>
        <v/>
      </c>
      <c r="D23" s="20">
        <f>MAX('Rate Card'!$B$15,('Rate Card'!$B$18+$A23*('Rate Card'!$B$8+'Rate Card'!$C$8+'Rate Card'!$D$8))*(1+'Rate Card'!$B$13+'Rate Card'!$B$14))</f>
        <v/>
      </c>
      <c r="E23" s="20">
        <f>B23/$A23</f>
        <v/>
      </c>
      <c r="F23" s="20">
        <f>C23/$A23</f>
        <v/>
      </c>
      <c r="G23" s="20">
        <f>D23/$A23</f>
        <v/>
      </c>
    </row>
    <row r="24">
      <c r="A24" s="19" t="n">
        <v>42</v>
      </c>
      <c r="B24" s="20">
        <f>MAX('Rate Card'!$B$15,('Rate Card'!$B$18+$A24*('Rate Card'!$B$6+'Rate Card'!$C$6+'Rate Card'!$D$6))*(1+'Rate Card'!$B$13+'Rate Card'!$B$14))</f>
        <v/>
      </c>
      <c r="C24" s="20">
        <f>MAX('Rate Card'!$B$15,('Rate Card'!$B$18+$A24*('Rate Card'!$B$7+'Rate Card'!$C$7+'Rate Card'!$D$7))*(1+'Rate Card'!$B$13+'Rate Card'!$B$14))</f>
        <v/>
      </c>
      <c r="D24" s="20">
        <f>MAX('Rate Card'!$B$15,('Rate Card'!$B$18+$A24*('Rate Card'!$B$8+'Rate Card'!$C$8+'Rate Card'!$D$8))*(1+'Rate Card'!$B$13+'Rate Card'!$B$14))</f>
        <v/>
      </c>
      <c r="E24" s="20">
        <f>B24/$A24</f>
        <v/>
      </c>
      <c r="F24" s="20">
        <f>C24/$A24</f>
        <v/>
      </c>
      <c r="G24" s="20">
        <f>D24/$A24</f>
        <v/>
      </c>
    </row>
    <row r="25">
      <c r="A25" s="19" t="n">
        <v>44</v>
      </c>
      <c r="B25" s="20">
        <f>MAX('Rate Card'!$B$15,('Rate Card'!$B$18+$A25*('Rate Card'!$B$6+'Rate Card'!$C$6+'Rate Card'!$D$6))*(1+'Rate Card'!$B$13+'Rate Card'!$B$14))</f>
        <v/>
      </c>
      <c r="C25" s="20">
        <f>MAX('Rate Card'!$B$15,('Rate Card'!$B$18+$A25*('Rate Card'!$B$7+'Rate Card'!$C$7+'Rate Card'!$D$7))*(1+'Rate Card'!$B$13+'Rate Card'!$B$14))</f>
        <v/>
      </c>
      <c r="D25" s="20">
        <f>MAX('Rate Card'!$B$15,('Rate Card'!$B$18+$A25*('Rate Card'!$B$8+'Rate Card'!$C$8+'Rate Card'!$D$8))*(1+'Rate Card'!$B$13+'Rate Card'!$B$14))</f>
        <v/>
      </c>
      <c r="E25" s="20">
        <f>B25/$A25</f>
        <v/>
      </c>
      <c r="F25" s="20">
        <f>C25/$A25</f>
        <v/>
      </c>
      <c r="G25" s="20">
        <f>D25/$A25</f>
        <v/>
      </c>
    </row>
    <row r="26">
      <c r="A26" s="19" t="n">
        <v>46</v>
      </c>
      <c r="B26" s="20">
        <f>MAX('Rate Card'!$B$15,('Rate Card'!$B$18+$A26*('Rate Card'!$B$6+'Rate Card'!$C$6+'Rate Card'!$D$6))*(1+'Rate Card'!$B$13+'Rate Card'!$B$14))</f>
        <v/>
      </c>
      <c r="C26" s="20">
        <f>MAX('Rate Card'!$B$15,('Rate Card'!$B$18+$A26*('Rate Card'!$B$7+'Rate Card'!$C$7+'Rate Card'!$D$7))*(1+'Rate Card'!$B$13+'Rate Card'!$B$14))</f>
        <v/>
      </c>
      <c r="D26" s="20">
        <f>MAX('Rate Card'!$B$15,('Rate Card'!$B$18+$A26*('Rate Card'!$B$8+'Rate Card'!$C$8+'Rate Card'!$D$8))*(1+'Rate Card'!$B$13+'Rate Card'!$B$14))</f>
        <v/>
      </c>
      <c r="E26" s="20">
        <f>B26/$A26</f>
        <v/>
      </c>
      <c r="F26" s="20">
        <f>C26/$A26</f>
        <v/>
      </c>
      <c r="G26" s="20">
        <f>D26/$A26</f>
        <v/>
      </c>
    </row>
    <row r="27">
      <c r="A27" s="19" t="n">
        <v>48</v>
      </c>
      <c r="B27" s="20">
        <f>MAX('Rate Card'!$B$15,('Rate Card'!$B$18+$A27*('Rate Card'!$B$6+'Rate Card'!$C$6+'Rate Card'!$D$6))*(1+'Rate Card'!$B$13+'Rate Card'!$B$14))</f>
        <v/>
      </c>
      <c r="C27" s="20">
        <f>MAX('Rate Card'!$B$15,('Rate Card'!$B$18+$A27*('Rate Card'!$B$7+'Rate Card'!$C$7+'Rate Card'!$D$7))*(1+'Rate Card'!$B$13+'Rate Card'!$B$14))</f>
        <v/>
      </c>
      <c r="D27" s="20">
        <f>MAX('Rate Card'!$B$15,('Rate Card'!$B$18+$A27*('Rate Card'!$B$8+'Rate Card'!$C$8+'Rate Card'!$D$8))*(1+'Rate Card'!$B$13+'Rate Card'!$B$14))</f>
        <v/>
      </c>
      <c r="E27" s="20">
        <f>B27/$A27</f>
        <v/>
      </c>
      <c r="F27" s="20">
        <f>C27/$A27</f>
        <v/>
      </c>
      <c r="G27" s="20">
        <f>D27/$A27</f>
        <v/>
      </c>
    </row>
    <row r="28">
      <c r="A28" s="19" t="n">
        <v>50</v>
      </c>
      <c r="B28" s="20">
        <f>MAX('Rate Card'!$B$15,('Rate Card'!$B$18+$A28*('Rate Card'!$B$6+'Rate Card'!$C$6+'Rate Card'!$D$6))*(1+'Rate Card'!$B$13+'Rate Card'!$B$14))</f>
        <v/>
      </c>
      <c r="C28" s="20">
        <f>MAX('Rate Card'!$B$15,('Rate Card'!$B$18+$A28*('Rate Card'!$B$7+'Rate Card'!$C$7+'Rate Card'!$D$7))*(1+'Rate Card'!$B$13+'Rate Card'!$B$14))</f>
        <v/>
      </c>
      <c r="D28" s="20">
        <f>MAX('Rate Card'!$B$15,('Rate Card'!$B$18+$A28*('Rate Card'!$B$8+'Rate Card'!$C$8+'Rate Card'!$D$8))*(1+'Rate Card'!$B$13+'Rate Card'!$B$14))</f>
        <v/>
      </c>
      <c r="E28" s="20">
        <f>B28/$A28</f>
        <v/>
      </c>
      <c r="F28" s="20">
        <f>C28/$A28</f>
        <v/>
      </c>
      <c r="G28" s="20">
        <f>D28/$A28</f>
        <v/>
      </c>
    </row>
    <row r="29">
      <c r="A29" s="19" t="n">
        <v>52</v>
      </c>
      <c r="B29" s="20">
        <f>MAX('Rate Card'!$B$15,('Rate Card'!$B$18+$A29*('Rate Card'!$B$6+'Rate Card'!$C$6+'Rate Card'!$D$6))*(1+'Rate Card'!$B$13+'Rate Card'!$B$14))</f>
        <v/>
      </c>
      <c r="C29" s="20">
        <f>MAX('Rate Card'!$B$15,('Rate Card'!$B$18+$A29*('Rate Card'!$B$7+'Rate Card'!$C$7+'Rate Card'!$D$7))*(1+'Rate Card'!$B$13+'Rate Card'!$B$14))</f>
        <v/>
      </c>
      <c r="D29" s="20">
        <f>MAX('Rate Card'!$B$15,('Rate Card'!$B$18+$A29*('Rate Card'!$B$8+'Rate Card'!$C$8+'Rate Card'!$D$8))*(1+'Rate Card'!$B$13+'Rate Card'!$B$14))</f>
        <v/>
      </c>
      <c r="E29" s="20">
        <f>B29/$A29</f>
        <v/>
      </c>
      <c r="F29" s="20">
        <f>C29/$A29</f>
        <v/>
      </c>
      <c r="G29" s="20">
        <f>D29/$A29</f>
        <v/>
      </c>
    </row>
    <row r="30">
      <c r="A30" s="19" t="n">
        <v>54</v>
      </c>
      <c r="B30" s="20">
        <f>MAX('Rate Card'!$B$15,('Rate Card'!$B$18+$A30*('Rate Card'!$B$6+'Rate Card'!$C$6+'Rate Card'!$D$6))*(1+'Rate Card'!$B$13+'Rate Card'!$B$14))</f>
        <v/>
      </c>
      <c r="C30" s="20">
        <f>MAX('Rate Card'!$B$15,('Rate Card'!$B$18+$A30*('Rate Card'!$B$7+'Rate Card'!$C$7+'Rate Card'!$D$7))*(1+'Rate Card'!$B$13+'Rate Card'!$B$14))</f>
        <v/>
      </c>
      <c r="D30" s="20">
        <f>MAX('Rate Card'!$B$15,('Rate Card'!$B$18+$A30*('Rate Card'!$B$8+'Rate Card'!$C$8+'Rate Card'!$D$8))*(1+'Rate Card'!$B$13+'Rate Card'!$B$14))</f>
        <v/>
      </c>
      <c r="E30" s="20">
        <f>B30/$A30</f>
        <v/>
      </c>
      <c r="F30" s="20">
        <f>C30/$A30</f>
        <v/>
      </c>
      <c r="G30" s="20">
        <f>D30/$A30</f>
        <v/>
      </c>
    </row>
    <row r="31">
      <c r="A31" s="19" t="n">
        <v>56</v>
      </c>
      <c r="B31" s="20">
        <f>MAX('Rate Card'!$B$15,('Rate Card'!$B$18+$A31*('Rate Card'!$B$6+'Rate Card'!$C$6+'Rate Card'!$D$6))*(1+'Rate Card'!$B$13+'Rate Card'!$B$14))</f>
        <v/>
      </c>
      <c r="C31" s="20">
        <f>MAX('Rate Card'!$B$15,('Rate Card'!$B$18+$A31*('Rate Card'!$B$7+'Rate Card'!$C$7+'Rate Card'!$D$7))*(1+'Rate Card'!$B$13+'Rate Card'!$B$14))</f>
        <v/>
      </c>
      <c r="D31" s="20">
        <f>MAX('Rate Card'!$B$15,('Rate Card'!$B$18+$A31*('Rate Card'!$B$8+'Rate Card'!$C$8+'Rate Card'!$D$8))*(1+'Rate Card'!$B$13+'Rate Card'!$B$14))</f>
        <v/>
      </c>
      <c r="E31" s="20">
        <f>B31/$A31</f>
        <v/>
      </c>
      <c r="F31" s="20">
        <f>C31/$A31</f>
        <v/>
      </c>
      <c r="G31" s="20">
        <f>D31/$A31</f>
        <v/>
      </c>
    </row>
    <row r="32">
      <c r="A32" s="19" t="n">
        <v>58</v>
      </c>
      <c r="B32" s="20">
        <f>MAX('Rate Card'!$B$15,('Rate Card'!$B$18+$A32*('Rate Card'!$B$6+'Rate Card'!$C$6+'Rate Card'!$D$6))*(1+'Rate Card'!$B$13+'Rate Card'!$B$14))</f>
        <v/>
      </c>
      <c r="C32" s="20">
        <f>MAX('Rate Card'!$B$15,('Rate Card'!$B$18+$A32*('Rate Card'!$B$7+'Rate Card'!$C$7+'Rate Card'!$D$7))*(1+'Rate Card'!$B$13+'Rate Card'!$B$14))</f>
        <v/>
      </c>
      <c r="D32" s="20">
        <f>MAX('Rate Card'!$B$15,('Rate Card'!$B$18+$A32*('Rate Card'!$B$8+'Rate Card'!$C$8+'Rate Card'!$D$8))*(1+'Rate Card'!$B$13+'Rate Card'!$B$14))</f>
        <v/>
      </c>
      <c r="E32" s="20">
        <f>B32/$A32</f>
        <v/>
      </c>
      <c r="F32" s="20">
        <f>C32/$A32</f>
        <v/>
      </c>
      <c r="G32" s="20">
        <f>D32/$A32</f>
        <v/>
      </c>
    </row>
    <row r="33">
      <c r="A33" s="19" t="n">
        <v>60</v>
      </c>
      <c r="B33" s="20">
        <f>MAX('Rate Card'!$B$15,('Rate Card'!$B$18+$A33*('Rate Card'!$B$6+'Rate Card'!$C$6+'Rate Card'!$D$6))*(1+'Rate Card'!$B$13+'Rate Card'!$B$14))</f>
        <v/>
      </c>
      <c r="C33" s="20">
        <f>MAX('Rate Card'!$B$15,('Rate Card'!$B$18+$A33*('Rate Card'!$B$7+'Rate Card'!$C$7+'Rate Card'!$D$7))*(1+'Rate Card'!$B$13+'Rate Card'!$B$14))</f>
        <v/>
      </c>
      <c r="D33" s="20">
        <f>MAX('Rate Card'!$B$15,('Rate Card'!$B$18+$A33*('Rate Card'!$B$8+'Rate Card'!$C$8+'Rate Card'!$D$8))*(1+'Rate Card'!$B$13+'Rate Card'!$B$14))</f>
        <v/>
      </c>
      <c r="E33" s="20">
        <f>B33/$A33</f>
        <v/>
      </c>
      <c r="F33" s="20">
        <f>C33/$A33</f>
        <v/>
      </c>
      <c r="G33" s="20">
        <f>D33/$A33</f>
        <v/>
      </c>
    </row>
    <row r="34">
      <c r="A34" s="19" t="n">
        <v>62</v>
      </c>
      <c r="B34" s="20">
        <f>MAX('Rate Card'!$B$15,('Rate Card'!$B$18+$A34*('Rate Card'!$B$6+'Rate Card'!$C$6+'Rate Card'!$D$6))*(1+'Rate Card'!$B$13+'Rate Card'!$B$14))</f>
        <v/>
      </c>
      <c r="C34" s="20">
        <f>MAX('Rate Card'!$B$15,('Rate Card'!$B$18+$A34*('Rate Card'!$B$7+'Rate Card'!$C$7+'Rate Card'!$D$7))*(1+'Rate Card'!$B$13+'Rate Card'!$B$14))</f>
        <v/>
      </c>
      <c r="D34" s="20">
        <f>MAX('Rate Card'!$B$15,('Rate Card'!$B$18+$A34*('Rate Card'!$B$8+'Rate Card'!$C$8+'Rate Card'!$D$8))*(1+'Rate Card'!$B$13+'Rate Card'!$B$14))</f>
        <v/>
      </c>
      <c r="E34" s="20">
        <f>B34/$A34</f>
        <v/>
      </c>
      <c r="F34" s="20">
        <f>C34/$A34</f>
        <v/>
      </c>
      <c r="G34" s="20">
        <f>D34/$A34</f>
        <v/>
      </c>
    </row>
    <row r="35">
      <c r="A35" s="19" t="n">
        <v>64</v>
      </c>
      <c r="B35" s="20">
        <f>MAX('Rate Card'!$B$15,('Rate Card'!$B$18+$A35*('Rate Card'!$B$6+'Rate Card'!$C$6+'Rate Card'!$D$6))*(1+'Rate Card'!$B$13+'Rate Card'!$B$14))</f>
        <v/>
      </c>
      <c r="C35" s="20">
        <f>MAX('Rate Card'!$B$15,('Rate Card'!$B$18+$A35*('Rate Card'!$B$7+'Rate Card'!$C$7+'Rate Card'!$D$7))*(1+'Rate Card'!$B$13+'Rate Card'!$B$14))</f>
        <v/>
      </c>
      <c r="D35" s="20">
        <f>MAX('Rate Card'!$B$15,('Rate Card'!$B$18+$A35*('Rate Card'!$B$8+'Rate Card'!$C$8+'Rate Card'!$D$8))*(1+'Rate Card'!$B$13+'Rate Card'!$B$14))</f>
        <v/>
      </c>
      <c r="E35" s="20">
        <f>B35/$A35</f>
        <v/>
      </c>
      <c r="F35" s="20">
        <f>C35/$A35</f>
        <v/>
      </c>
      <c r="G35" s="20">
        <f>D35/$A35</f>
        <v/>
      </c>
    </row>
    <row r="37">
      <c r="A37" s="4" t="inlineStr">
        <is>
          <t>Shaded = the $2,500 minimum set the price rather than the unit count.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8" customWidth="1" min="3" max="3"/>
    <col width="16" customWidth="1" min="4" max="4"/>
    <col width="62" customWidth="1" min="5" max="5"/>
  </cols>
  <sheetData>
    <row r="1" ht="24" customHeight="1">
      <c r="A1" s="1" t="inlineStr">
        <is>
          <t>QUICK QUOTE — fill in the yellow cells only</t>
        </is>
      </c>
    </row>
    <row r="3">
      <c r="A3" s="4" t="inlineStr">
        <is>
          <t>Blue text = you type it. Black = calculated. Green = pulled from the Rate Card.</t>
        </is>
      </c>
    </row>
    <row r="5">
      <c r="A5" s="11" t="inlineStr">
        <is>
          <t>JOB INFO</t>
        </is>
      </c>
    </row>
    <row r="6">
      <c r="A6" s="12" t="inlineStr">
        <is>
          <t>Customer</t>
        </is>
      </c>
      <c r="B6" s="21" t="inlineStr">
        <is>
          <t>Example: Smith, 14 Maple Ave</t>
        </is>
      </c>
    </row>
    <row r="7">
      <c r="A7" s="12" t="inlineStr">
        <is>
          <t>Date</t>
        </is>
      </c>
      <c r="B7" s="21" t="inlineStr">
        <is>
          <t>2026-08-18</t>
        </is>
      </c>
    </row>
    <row r="8">
      <c r="A8" s="12" t="inlineStr">
        <is>
          <t>Sales rep</t>
        </is>
      </c>
      <c r="B8" s="21" t="inlineStr">
        <is>
          <t>Example: Ben</t>
        </is>
      </c>
    </row>
    <row r="10">
      <c r="A10" s="11" t="inlineStr">
        <is>
          <t>SCOPE</t>
        </is>
      </c>
    </row>
    <row r="11">
      <c r="A11" s="12" t="inlineStr">
        <is>
          <t>Tier</t>
        </is>
      </c>
      <c r="B11" s="21" t="inlineStr">
        <is>
          <t>Tier 3 — Reface</t>
        </is>
      </c>
      <c r="C11" s="4" t="inlineStr">
        <is>
          <t>← pick from the dropdown</t>
        </is>
      </c>
    </row>
    <row r="12">
      <c r="A12" s="12" t="inlineStr">
        <is>
          <t>Units — doors + drawer fronts</t>
        </is>
      </c>
      <c r="B12" s="9" t="n">
        <v>38</v>
      </c>
      <c r="C12" s="4" t="inlineStr">
        <is>
          <t>Count every door and every drawer front together as one number, the way ServiceMinder does.</t>
        </is>
      </c>
    </row>
    <row r="15">
      <c r="A15" s="11" t="inlineStr">
        <is>
          <t>CABINET WORK</t>
        </is>
      </c>
    </row>
    <row r="16">
      <c r="A16" s="5" t="inlineStr">
        <is>
          <t>Line</t>
        </is>
      </c>
      <c r="B16" s="5" t="inlineStr">
        <is>
          <t>Units</t>
        </is>
      </c>
      <c r="C16" s="5" t="inlineStr">
        <is>
          <t>Rate</t>
        </is>
      </c>
      <c r="D16" s="5" t="inlineStr">
        <is>
          <t>Amount</t>
        </is>
      </c>
    </row>
    <row r="17">
      <c r="A17" s="17" t="inlineStr">
        <is>
          <t>Doors and drawer fronts — material</t>
        </is>
      </c>
      <c r="B17" s="22">
        <f>$B$12</f>
        <v/>
      </c>
      <c r="C17" s="23">
        <f>INDEX('Rate Card'!$B$6:$B$8,MATCH($B$11,'Rate Card'!$A$6:$A$8,0))</f>
        <v/>
      </c>
      <c r="D17" s="20">
        <f>B17*C17</f>
        <v/>
      </c>
    </row>
    <row r="18">
      <c r="A18" s="17" t="inlineStr">
        <is>
          <t>Removal and install labor</t>
        </is>
      </c>
      <c r="B18" s="22">
        <f>$B$12</f>
        <v/>
      </c>
      <c r="C18" s="23">
        <f>INDEX('Rate Card'!$C$6:$C$8,MATCH($B$11,'Rate Card'!$A$6:$A$8,0))</f>
        <v/>
      </c>
      <c r="D18" s="20">
        <f>B18*C18</f>
        <v/>
      </c>
    </row>
    <row r="19">
      <c r="A19" s="17" t="inlineStr">
        <is>
          <t>Hardware — material and install</t>
        </is>
      </c>
      <c r="B19" s="22">
        <f>$B$12</f>
        <v/>
      </c>
      <c r="C19" s="23">
        <f>INDEX('Rate Card'!$D$6:$D$8,MATCH($B$11,'Rate Card'!$A$6:$A$8,0))</f>
        <v/>
      </c>
      <c r="D19" s="20">
        <f>B19*C19</f>
        <v/>
      </c>
    </row>
    <row r="20">
      <c r="A20" s="12" t="inlineStr">
        <is>
          <t>Cabinet work subtotal</t>
        </is>
      </c>
      <c r="D20" s="24">
        <f>SUM(D17:D19)</f>
        <v/>
      </c>
    </row>
    <row r="22">
      <c r="A22" s="11" t="inlineStr">
        <is>
          <t>ADD-ONS AND FLAT LINES — enter a quantity for anything the job includes</t>
        </is>
      </c>
    </row>
    <row r="23">
      <c r="A23" s="5" t="inlineStr">
        <is>
          <t>Add-On</t>
        </is>
      </c>
      <c r="B23" s="5" t="inlineStr">
        <is>
          <t>Qty</t>
        </is>
      </c>
      <c r="C23" s="5" t="inlineStr">
        <is>
          <t>Unit</t>
        </is>
      </c>
      <c r="D23" s="5" t="inlineStr">
        <is>
          <t>Rate</t>
        </is>
      </c>
      <c r="E23" s="5" t="inlineStr">
        <is>
          <t>Amount</t>
        </is>
      </c>
    </row>
    <row r="24">
      <c r="A24" s="25">
        <f>'Rate Card'!A28</f>
        <v/>
      </c>
      <c r="B24" s="26" t="n">
        <v>1</v>
      </c>
      <c r="C24" s="25">
        <f>'Rate Card'!B28</f>
        <v/>
      </c>
      <c r="D24" s="23">
        <f>'Rate Card'!C28</f>
        <v/>
      </c>
      <c r="E24" s="20">
        <f>B24*D24</f>
        <v/>
      </c>
    </row>
    <row r="25">
      <c r="A25" s="25">
        <f>'Rate Card'!A29</f>
        <v/>
      </c>
      <c r="B25" s="26" t="n">
        <v>1</v>
      </c>
      <c r="C25" s="25">
        <f>'Rate Card'!B29</f>
        <v/>
      </c>
      <c r="D25" s="23">
        <f>'Rate Card'!C29</f>
        <v/>
      </c>
      <c r="E25" s="20">
        <f>B25*D25</f>
        <v/>
      </c>
    </row>
    <row r="26">
      <c r="A26" s="25">
        <f>'Rate Card'!A30</f>
        <v/>
      </c>
      <c r="B26" s="26" t="n">
        <v>1</v>
      </c>
      <c r="C26" s="25">
        <f>'Rate Card'!B30</f>
        <v/>
      </c>
      <c r="D26" s="23">
        <f>'Rate Card'!C30</f>
        <v/>
      </c>
      <c r="E26" s="20">
        <f>B26*D26</f>
        <v/>
      </c>
    </row>
    <row r="27">
      <c r="A27" s="25">
        <f>'Rate Card'!A31</f>
        <v/>
      </c>
      <c r="B27" s="26" t="n">
        <v>0</v>
      </c>
      <c r="C27" s="25">
        <f>'Rate Card'!B31</f>
        <v/>
      </c>
      <c r="D27" s="23">
        <f>'Rate Card'!C31</f>
        <v/>
      </c>
      <c r="E27" s="20">
        <f>B27*D27</f>
        <v/>
      </c>
    </row>
    <row r="28">
      <c r="A28" s="25">
        <f>'Rate Card'!A32</f>
        <v/>
      </c>
      <c r="B28" s="26" t="n">
        <v>0</v>
      </c>
      <c r="C28" s="25">
        <f>'Rate Card'!B32</f>
        <v/>
      </c>
      <c r="D28" s="23">
        <f>'Rate Card'!C32</f>
        <v/>
      </c>
      <c r="E28" s="20">
        <f>B28*D28</f>
        <v/>
      </c>
    </row>
    <row r="29">
      <c r="A29" s="25">
        <f>'Rate Card'!A33</f>
        <v/>
      </c>
      <c r="B29" s="26" t="n">
        <v>0</v>
      </c>
      <c r="C29" s="25">
        <f>'Rate Card'!B33</f>
        <v/>
      </c>
      <c r="D29" s="23">
        <f>'Rate Card'!C33</f>
        <v/>
      </c>
      <c r="E29" s="20">
        <f>B29*D29</f>
        <v/>
      </c>
    </row>
    <row r="30">
      <c r="A30" s="25">
        <f>'Rate Card'!A34</f>
        <v/>
      </c>
      <c r="B30" s="26" t="n">
        <v>0</v>
      </c>
      <c r="C30" s="25">
        <f>'Rate Card'!B34</f>
        <v/>
      </c>
      <c r="D30" s="23">
        <f>'Rate Card'!C34</f>
        <v/>
      </c>
      <c r="E30" s="20">
        <f>B30*D30</f>
        <v/>
      </c>
    </row>
    <row r="31">
      <c r="A31" s="25">
        <f>'Rate Card'!A35</f>
        <v/>
      </c>
      <c r="B31" s="26" t="n">
        <v>0</v>
      </c>
      <c r="C31" s="25">
        <f>'Rate Card'!B35</f>
        <v/>
      </c>
      <c r="D31" s="23">
        <f>'Rate Card'!C35</f>
        <v/>
      </c>
      <c r="E31" s="20">
        <f>B31*D31</f>
        <v/>
      </c>
    </row>
    <row r="32">
      <c r="A32" s="25">
        <f>'Rate Card'!A36</f>
        <v/>
      </c>
      <c r="B32" s="26" t="n">
        <v>0</v>
      </c>
      <c r="C32" s="25">
        <f>'Rate Card'!B36</f>
        <v/>
      </c>
      <c r="D32" s="23">
        <f>'Rate Card'!C36</f>
        <v/>
      </c>
      <c r="E32" s="20">
        <f>B32*D32</f>
        <v/>
      </c>
    </row>
    <row r="33">
      <c r="A33" s="25">
        <f>'Rate Card'!A37</f>
        <v/>
      </c>
      <c r="B33" s="26" t="n">
        <v>0</v>
      </c>
      <c r="C33" s="25">
        <f>'Rate Card'!B37</f>
        <v/>
      </c>
      <c r="D33" s="23">
        <f>'Rate Card'!C37</f>
        <v/>
      </c>
      <c r="E33" s="20">
        <f>B33*D33</f>
        <v/>
      </c>
    </row>
    <row r="34">
      <c r="A34" s="25">
        <f>'Rate Card'!A38</f>
        <v/>
      </c>
      <c r="B34" s="26" t="n">
        <v>0</v>
      </c>
      <c r="C34" s="25">
        <f>'Rate Card'!B38</f>
        <v/>
      </c>
      <c r="D34" s="23">
        <f>'Rate Card'!C38</f>
        <v/>
      </c>
      <c r="E34" s="20">
        <f>B34*D34</f>
        <v/>
      </c>
    </row>
    <row r="35">
      <c r="A35" s="25">
        <f>'Rate Card'!A39</f>
        <v/>
      </c>
      <c r="B35" s="26" t="n">
        <v>0</v>
      </c>
      <c r="C35" s="25">
        <f>'Rate Card'!B39</f>
        <v/>
      </c>
      <c r="D35" s="23">
        <f>'Rate Card'!C39</f>
        <v/>
      </c>
      <c r="E35" s="20">
        <f>B35*D35</f>
        <v/>
      </c>
    </row>
    <row r="36">
      <c r="A36" s="25">
        <f>'Rate Card'!A40</f>
        <v/>
      </c>
      <c r="B36" s="26" t="n">
        <v>0</v>
      </c>
      <c r="C36" s="25">
        <f>'Rate Card'!B40</f>
        <v/>
      </c>
      <c r="D36" s="23">
        <f>'Rate Card'!C40</f>
        <v/>
      </c>
      <c r="E36" s="20">
        <f>B36*D36</f>
        <v/>
      </c>
    </row>
    <row r="37">
      <c r="A37" s="25">
        <f>'Rate Card'!A41</f>
        <v/>
      </c>
      <c r="B37" s="26" t="n">
        <v>0</v>
      </c>
      <c r="C37" s="25">
        <f>'Rate Card'!B41</f>
        <v/>
      </c>
      <c r="D37" s="23">
        <f>'Rate Card'!C41</f>
        <v/>
      </c>
      <c r="E37" s="20">
        <f>B37*D37</f>
        <v/>
      </c>
    </row>
    <row r="38">
      <c r="A38" s="25">
        <f>'Rate Card'!A42</f>
        <v/>
      </c>
      <c r="B38" s="26" t="n">
        <v>0</v>
      </c>
      <c r="C38" s="25">
        <f>'Rate Card'!B42</f>
        <v/>
      </c>
      <c r="D38" s="23">
        <f>'Rate Card'!C42</f>
        <v/>
      </c>
      <c r="E38" s="20">
        <f>B38*D38</f>
        <v/>
      </c>
    </row>
    <row r="39">
      <c r="A39" s="25">
        <f>'Rate Card'!A43</f>
        <v/>
      </c>
      <c r="B39" s="26" t="n">
        <v>0</v>
      </c>
      <c r="C39" s="25">
        <f>'Rate Card'!B43</f>
        <v/>
      </c>
      <c r="D39" s="23">
        <f>'Rate Card'!C43</f>
        <v/>
      </c>
      <c r="E39" s="20">
        <f>B39*D39</f>
        <v/>
      </c>
    </row>
    <row r="40">
      <c r="A40" s="25">
        <f>'Rate Card'!A44</f>
        <v/>
      </c>
      <c r="B40" s="26" t="n">
        <v>0</v>
      </c>
      <c r="C40" s="25">
        <f>'Rate Card'!B44</f>
        <v/>
      </c>
      <c r="D40" s="23">
        <f>'Rate Card'!C44</f>
        <v/>
      </c>
      <c r="E40" s="20">
        <f>B40*D40</f>
        <v/>
      </c>
    </row>
    <row r="41">
      <c r="A41" s="25">
        <f>'Rate Card'!A45</f>
        <v/>
      </c>
      <c r="B41" s="26" t="n">
        <v>0</v>
      </c>
      <c r="C41" s="25">
        <f>'Rate Card'!B45</f>
        <v/>
      </c>
      <c r="D41" s="23">
        <f>'Rate Card'!C45</f>
        <v/>
      </c>
      <c r="E41" s="20">
        <f>B41*D41</f>
        <v/>
      </c>
    </row>
    <row r="42">
      <c r="A42" s="25">
        <f>'Rate Card'!A46</f>
        <v/>
      </c>
      <c r="B42" s="26" t="n">
        <v>0</v>
      </c>
      <c r="C42" s="25">
        <f>'Rate Card'!B46</f>
        <v/>
      </c>
      <c r="D42" s="23">
        <f>'Rate Card'!C46</f>
        <v/>
      </c>
      <c r="E42" s="20">
        <f>B42*D42</f>
        <v/>
      </c>
    </row>
    <row r="43">
      <c r="A43" s="25">
        <f>'Rate Card'!A47</f>
        <v/>
      </c>
      <c r="B43" s="26" t="n">
        <v>0</v>
      </c>
      <c r="C43" s="25">
        <f>'Rate Card'!B47</f>
        <v/>
      </c>
      <c r="D43" s="23">
        <f>'Rate Card'!C47</f>
        <v/>
      </c>
      <c r="E43" s="20">
        <f>B43*D43</f>
        <v/>
      </c>
    </row>
    <row r="44">
      <c r="A44" s="25">
        <f>'Rate Card'!A48</f>
        <v/>
      </c>
      <c r="B44" s="26" t="n">
        <v>0</v>
      </c>
      <c r="C44" s="25">
        <f>'Rate Card'!B48</f>
        <v/>
      </c>
      <c r="D44" s="23">
        <f>'Rate Card'!C48</f>
        <v/>
      </c>
      <c r="E44" s="20">
        <f>B44*D44</f>
        <v/>
      </c>
    </row>
    <row r="45">
      <c r="A45" s="25">
        <f>'Rate Card'!A49</f>
        <v/>
      </c>
      <c r="B45" s="26" t="n">
        <v>0</v>
      </c>
      <c r="C45" s="25">
        <f>'Rate Card'!B49</f>
        <v/>
      </c>
      <c r="D45" s="23">
        <f>'Rate Card'!C49</f>
        <v/>
      </c>
      <c r="E45" s="20">
        <f>B45*D45</f>
        <v/>
      </c>
    </row>
    <row r="46">
      <c r="A46" s="25">
        <f>'Rate Card'!A50</f>
        <v/>
      </c>
      <c r="B46" s="26" t="n">
        <v>0</v>
      </c>
      <c r="C46" s="25">
        <f>'Rate Card'!B50</f>
        <v/>
      </c>
      <c r="D46" s="23">
        <f>'Rate Card'!C50</f>
        <v/>
      </c>
      <c r="E46" s="20">
        <f>B46*D46</f>
        <v/>
      </c>
    </row>
    <row r="47">
      <c r="A47" s="25">
        <f>'Rate Card'!A51</f>
        <v/>
      </c>
      <c r="B47" s="26" t="n">
        <v>0</v>
      </c>
      <c r="C47" s="25">
        <f>'Rate Card'!B51</f>
        <v/>
      </c>
      <c r="D47" s="23">
        <f>'Rate Card'!C51</f>
        <v/>
      </c>
      <c r="E47" s="20">
        <f>B47*D47</f>
        <v/>
      </c>
    </row>
    <row r="48">
      <c r="A48" s="25">
        <f>'Rate Card'!A52</f>
        <v/>
      </c>
      <c r="B48" s="26" t="n">
        <v>0</v>
      </c>
      <c r="C48" s="25">
        <f>'Rate Card'!B52</f>
        <v/>
      </c>
      <c r="D48" s="23">
        <f>'Rate Card'!C52</f>
        <v/>
      </c>
      <c r="E48" s="20">
        <f>B48*D48</f>
        <v/>
      </c>
    </row>
    <row r="49">
      <c r="A49" s="25">
        <f>'Rate Card'!A53</f>
        <v/>
      </c>
      <c r="B49" s="26" t="n">
        <v>0</v>
      </c>
      <c r="C49" s="25">
        <f>'Rate Card'!B53</f>
        <v/>
      </c>
      <c r="D49" s="23">
        <f>'Rate Card'!C53</f>
        <v/>
      </c>
      <c r="E49" s="20">
        <f>B49*D49</f>
        <v/>
      </c>
    </row>
    <row r="50">
      <c r="A50" s="25">
        <f>'Rate Card'!A54</f>
        <v/>
      </c>
      <c r="B50" s="26" t="n">
        <v>0</v>
      </c>
      <c r="C50" s="25">
        <f>'Rate Card'!B54</f>
        <v/>
      </c>
      <c r="D50" s="23">
        <f>'Rate Card'!C54</f>
        <v/>
      </c>
      <c r="E50" s="20">
        <f>B50*D50</f>
        <v/>
      </c>
    </row>
    <row r="51">
      <c r="A51" s="25">
        <f>'Rate Card'!A55</f>
        <v/>
      </c>
      <c r="B51" s="26" t="n">
        <v>0</v>
      </c>
      <c r="C51" s="25">
        <f>'Rate Card'!B55</f>
        <v/>
      </c>
      <c r="D51" s="23">
        <f>'Rate Card'!C55</f>
        <v/>
      </c>
      <c r="E51" s="20">
        <f>B51*D51</f>
        <v/>
      </c>
    </row>
    <row r="52">
      <c r="A52" s="25">
        <f>'Rate Card'!A56</f>
        <v/>
      </c>
      <c r="B52" s="26" t="n">
        <v>0</v>
      </c>
      <c r="C52" s="25">
        <f>'Rate Card'!B56</f>
        <v/>
      </c>
      <c r="D52" s="23">
        <f>'Rate Card'!C56</f>
        <v/>
      </c>
      <c r="E52" s="20">
        <f>B52*D52</f>
        <v/>
      </c>
    </row>
    <row r="53">
      <c r="A53" s="25">
        <f>'Rate Card'!A57</f>
        <v/>
      </c>
      <c r="B53" s="26" t="n">
        <v>0</v>
      </c>
      <c r="C53" s="25">
        <f>'Rate Card'!B57</f>
        <v/>
      </c>
      <c r="D53" s="23">
        <f>'Rate Card'!C57</f>
        <v/>
      </c>
      <c r="E53" s="20">
        <f>B53*D53</f>
        <v/>
      </c>
    </row>
    <row r="54">
      <c r="A54" s="12" t="inlineStr">
        <is>
          <t>Add-ons subtotal</t>
        </is>
      </c>
      <c r="E54" s="24">
        <f>SUM(E24:E53)</f>
        <v/>
      </c>
    </row>
    <row r="56">
      <c r="A56" s="11" t="inlineStr">
        <is>
          <t>PRICE BUILD-UP</t>
        </is>
      </c>
    </row>
    <row r="57">
      <c r="A57" s="27" t="inlineStr">
        <is>
          <t>Line-item subtotal</t>
        </is>
      </c>
      <c r="D57" s="20">
        <f>$D$20+$E$54</f>
        <v/>
      </c>
    </row>
    <row r="58">
      <c r="A58" s="27" t="inlineStr">
        <is>
          <t>Shop Labor</t>
        </is>
      </c>
      <c r="D58" s="20">
        <f>D57*'Rate Card'!$B$13</f>
        <v/>
      </c>
    </row>
    <row r="59">
      <c r="A59" s="27" t="inlineStr">
        <is>
          <t>Shop Overhead</t>
        </is>
      </c>
      <c r="D59" s="20">
        <f>D57*'Rate Card'!$B$14</f>
        <v/>
      </c>
    </row>
    <row r="60">
      <c r="A60" s="12" t="inlineStr">
        <is>
          <t>Price before minimum</t>
        </is>
      </c>
      <c r="D60" s="28">
        <f>SUM(D57:D59)</f>
        <v/>
      </c>
    </row>
    <row r="61">
      <c r="A61" s="27" t="inlineStr">
        <is>
          <t>Job minimum</t>
        </is>
      </c>
      <c r="D61" s="29">
        <f>'Rate Card'!$B$15</f>
        <v/>
      </c>
    </row>
    <row r="62">
      <c r="A62" s="27" t="inlineStr">
        <is>
          <t>Discount (enter as a positive $)</t>
        </is>
      </c>
      <c r="D62" s="10" t="n">
        <v>0</v>
      </c>
    </row>
    <row r="63">
      <c r="A63" s="27" t="inlineStr">
        <is>
          <t>QUOTED PRICE</t>
        </is>
      </c>
      <c r="D63" s="30">
        <f>MAX(D60-D62,D61)</f>
        <v/>
      </c>
      <c r="E63" s="31">
        <f>IF($D$63&lt;=D61,"MINIMUM APPLIED — priced up to the $2,500 floor. Trade up: hardware, rollouts, lighting.","")</f>
        <v/>
      </c>
    </row>
    <row r="64">
      <c r="A64" s="27" t="inlineStr">
        <is>
          <t>Effective price per unit</t>
        </is>
      </c>
      <c r="D64" s="20">
        <f>IFERROR(D63/$B$12,0)</f>
        <v/>
      </c>
    </row>
    <row r="65">
      <c r="A65" s="27" t="inlineStr">
        <is>
          <t>Deposit due at signing</t>
        </is>
      </c>
      <c r="D65" s="20">
        <f>D63*'Rate Card'!$B$16</f>
        <v/>
      </c>
    </row>
    <row r="66">
      <c r="A66" s="27" t="inlineStr">
        <is>
          <t>Balance</t>
        </is>
      </c>
      <c r="D66" s="20">
        <f>D63-D65</f>
        <v/>
      </c>
    </row>
    <row r="68">
      <c r="A68" s="32" t="inlineStr">
        <is>
          <t>MARGIN CHECK (internal — do not show the customer)</t>
        </is>
      </c>
    </row>
    <row r="69">
      <c r="A69" s="27" t="inlineStr">
        <is>
          <t>Estimated crew hours</t>
        </is>
      </c>
      <c r="D69" s="33">
        <f>INDEX('Rate Card'!$F$6:$F$8,MATCH($B$11,'Rate Card'!$A$6:$A$8,0))+$B$12*INDEX('Rate Card'!$E$6:$E$8,MATCH($B$11,'Rate Card'!$A$6:$A$8,0))</f>
        <v/>
      </c>
    </row>
    <row r="70">
      <c r="A70" s="27" t="inlineStr">
        <is>
          <t>Crew rate ($/hr)</t>
        </is>
      </c>
      <c r="D70" s="20">
        <f>INDEX('Rate Card'!$G$6:$G$8,MATCH($B$11,'Rate Card'!$A$6:$A$8,0))</f>
        <v/>
      </c>
    </row>
    <row r="71">
      <c r="A71" s="27" t="inlineStr">
        <is>
          <t>Estimated direct labor cost</t>
        </is>
      </c>
      <c r="D71" s="20">
        <f>D69*D70</f>
        <v/>
      </c>
    </row>
    <row r="72">
      <c r="A72" s="27" t="inlineStr">
        <is>
          <t>Direct labor % of quoted price</t>
        </is>
      </c>
      <c r="D72" s="34">
        <f>IFERROR(D71/$D$63,0)</f>
        <v/>
      </c>
      <c r="E72" s="12">
        <f>IF(D72&gt;'Rate Card'!$B$17,"OVER the 20% labor ceiling — re-check hours or raise the price","Within the 20% labor ceiling")</f>
        <v/>
      </c>
    </row>
    <row r="74">
      <c r="A74" s="4" t="inlineStr">
        <is>
          <t>Crew hours are internal estimates, not Construction Clock actuals. Door material and vendor costs are not in this check.</t>
        </is>
      </c>
    </row>
  </sheetData>
  <mergeCells count="1">
    <mergeCell ref="A1:F1"/>
  </mergeCells>
  <dataValidations count="1">
    <dataValidation sqref="B11" showDropDown="0" showInputMessage="0" showErrorMessage="0" allowBlank="0" type="list">
      <formula1>='Rate Card'!$A$6:$A$8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2026-08-18T21:29:00Z</dcterms:created>
  <dcterms:modified xsi:type="dcterms:W3CDTF">2026-08-18T21:29:00Z</dcterms:modified>
</cp:coreProperties>
</file>