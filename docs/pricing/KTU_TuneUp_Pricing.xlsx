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une-Up Pricing Works" sheetId="1" state="visible" r:id="rId1"/>
    <sheet name="Rate Card" sheetId="2" state="visible" r:id="rId2"/>
    <sheet name="Price by Door Count" sheetId="3" state="visible" r:id="rId3"/>
    <sheet name="Quick Quote"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
    <numFmt numFmtId="167" formatCode="0.0"/>
  </numFmts>
  <fonts count="11">
    <font>
      <name val="Calibri"/>
      <family val="2"/>
      <color theme="1"/>
      <sz val="11"/>
      <scheme val="minor"/>
    </font>
    <font>
      <name val="Arial"/>
      <b val="1"/>
      <color rgb="00FFFFFF"/>
      <sz val="14"/>
    </font>
    <font>
      <name val="Arial"/>
      <i val="1"/>
      <color rgb="00595959"/>
      <sz val="9"/>
    </font>
    <font>
      <name val="Arial"/>
      <b val="1"/>
      <color rgb="00FFFFFF"/>
      <sz val="10"/>
    </font>
    <font>
      <name val="Arial"/>
      <b val="1"/>
      <sz val="10"/>
    </font>
    <font>
      <name val="Arial"/>
      <color rgb="000000FF"/>
      <sz val="10"/>
    </font>
    <font>
      <name val="Arial"/>
      <b val="1"/>
      <sz val="11"/>
    </font>
    <font>
      <name val="Arial"/>
      <sz val="10"/>
    </font>
    <font>
      <name val="Arial"/>
      <color rgb="00008000"/>
      <sz val="10"/>
    </font>
    <font>
      <name val="Arial"/>
      <b val="1"/>
      <sz val="12"/>
    </font>
    <font>
      <name val="Arial"/>
      <b val="1"/>
      <color rgb="00C00000"/>
      <sz val="10"/>
    </font>
  </fonts>
  <fills count="7">
    <fill>
      <patternFill/>
    </fill>
    <fill>
      <patternFill patternType="gray125"/>
    </fill>
    <fill>
      <patternFill patternType="solid">
        <fgColor rgb="001F3864"/>
      </patternFill>
    </fill>
    <fill>
      <patternFill patternType="solid">
        <fgColor rgb="00FFFF00"/>
      </patternFill>
    </fill>
    <fill>
      <patternFill patternType="solid">
        <fgColor rgb="00FCE4D6"/>
      </patternFill>
    </fill>
    <fill>
      <patternFill patternType="solid">
        <fgColor rgb="00D9E2F3"/>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164" fontId="5" fillId="3" borderId="1" pivotButton="0" quotePrefix="0" xfId="0"/>
    <xf numFmtId="2" fontId="5" fillId="3" borderId="1" pivotButton="0" quotePrefix="0" xfId="0"/>
    <xf numFmtId="1" fontId="5" fillId="3" borderId="1" pivotButton="0" quotePrefix="0" xfId="0"/>
    <xf numFmtId="0" fontId="6" fillId="0" borderId="0" pivotButton="0" quotePrefix="0" xfId="0"/>
    <xf numFmtId="0" fontId="4" fillId="0" borderId="0" pivotButton="0" quotePrefix="0" xfId="0"/>
    <xf numFmtId="165" fontId="5" fillId="3" borderId="1" pivotButton="0" quotePrefix="0" xfId="0"/>
    <xf numFmtId="0" fontId="7" fillId="0" borderId="1" applyAlignment="1" pivotButton="0" quotePrefix="0" xfId="0">
      <alignment vertical="top" wrapText="1"/>
    </xf>
    <xf numFmtId="0" fontId="0" fillId="0" borderId="4" pivotButton="0" quotePrefix="0" xfId="0"/>
    <xf numFmtId="0" fontId="0" fillId="0" borderId="5" pivotButton="0" quotePrefix="0" xfId="0"/>
    <xf numFmtId="0" fontId="7" fillId="0" borderId="1" pivotButton="0" quotePrefix="0" xfId="0"/>
    <xf numFmtId="0" fontId="2" fillId="0" borderId="1" pivotButton="0" quotePrefix="0" xfId="0"/>
    <xf numFmtId="1" fontId="5" fillId="0" borderId="1" pivotButton="0" quotePrefix="0" xfId="0"/>
    <xf numFmtId="1" fontId="7" fillId="0" borderId="1" pivotButton="0" quotePrefix="0" xfId="0"/>
    <xf numFmtId="164" fontId="7" fillId="4" borderId="1" pivotButton="0" quotePrefix="0" xfId="0"/>
    <xf numFmtId="164" fontId="7" fillId="0" borderId="1" pivotButton="0" quotePrefix="0" xfId="0"/>
    <xf numFmtId="0" fontId="5" fillId="3" borderId="1" pivotButton="0" quotePrefix="0" xfId="0"/>
    <xf numFmtId="164" fontId="8" fillId="0" borderId="1" pivotButton="0" quotePrefix="0" xfId="0"/>
    <xf numFmtId="164" fontId="4" fillId="5" borderId="0" pivotButton="0" quotePrefix="0" xfId="0"/>
    <xf numFmtId="0" fontId="8" fillId="0" borderId="1" pivotButton="0" quotePrefix="0" xfId="0"/>
    <xf numFmtId="166" fontId="5" fillId="3" borderId="1" pivotButton="0" quotePrefix="0" xfId="0"/>
    <xf numFmtId="0" fontId="7" fillId="0" borderId="0" pivotButton="0" quotePrefix="0" xfId="0"/>
    <xf numFmtId="164" fontId="4" fillId="0" borderId="1" pivotButton="0" quotePrefix="0" xfId="0"/>
    <xf numFmtId="164" fontId="9" fillId="6" borderId="1" pivotButton="0" quotePrefix="0" xfId="0"/>
    <xf numFmtId="0" fontId="10" fillId="0" borderId="0" pivotButton="0" quotePrefix="0" xfId="0"/>
    <xf numFmtId="0" fontId="6" fillId="4" borderId="0" pivotButton="0" quotePrefix="0" xfId="0"/>
    <xf numFmtId="167" fontId="7" fillId="0" borderId="1" pivotButton="0" quotePrefix="0" xfId="0"/>
    <xf numFmtId="165"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32" customWidth="1" min="1" max="1"/>
  </cols>
  <sheetData>
    <row r="1" ht="24" customHeight="1">
      <c r="A1" s="1" t="inlineStr">
        <is>
          <t>HOW TUNE-UP PRICING WORKS</t>
        </is>
      </c>
    </row>
    <row r="3">
      <c r="A3" s="2" t="inlineStr">
        <is>
          <t>What a Tune-Up is</t>
        </is>
      </c>
    </row>
    <row r="4" ht="32" customHeight="1">
      <c r="A4" s="3" t="inlineStr">
        <is>
          <t>The 1-day reconditioning service: we restore the finish that is already on the cabinets. Boxes, doors and drawer fronts all stay. No colour change, no style change, and it cannot be done on painted or laminate doors — those are painting or redooring jobs, priced on the other workbook.</t>
        </is>
      </c>
    </row>
    <row r="6">
      <c r="A6" s="2" t="inlineStr">
        <is>
          <t>The formula</t>
        </is>
      </c>
    </row>
    <row r="7" ht="32" customHeight="1">
      <c r="A7" s="3" t="inlineStr">
        <is>
          <t>Quoted price = ( Job base + Doors x Per-door rate + Drawer fronts x Per-drawer-front rate + Add-ons ) x 1.29, floored at $2,500.</t>
        </is>
      </c>
    </row>
    <row r="8" ht="32" customHeight="1">
      <c r="A8" s="3" t="inlineStr">
        <is>
          <t>The 1.29 is Shop Labor 24% + Shop Overhead 5%, which go on the proposal as their own two lines, same as always in ServiceMinder.</t>
        </is>
      </c>
    </row>
    <row r="10">
      <c r="A10" s="2" t="inlineStr">
        <is>
          <t>Why per door</t>
        </is>
      </c>
    </row>
    <row r="11" ht="32" customHeight="1">
      <c r="A11" s="3" t="inlineStr">
        <is>
          <t>The boxes stay put, so the work scales with the number of doors and drawer fronts, not with the size of the kitchen. Count the doors, count the drawer fronts, and the job prices itself. The job base covers measure, set-up, masking and clean-up — it is why a 12-door kitchen is not half the price of a 24-door kitchen.</t>
        </is>
      </c>
    </row>
    <row r="13">
      <c r="A13" s="2" t="inlineStr">
        <is>
          <t>The three tiers</t>
        </is>
      </c>
    </row>
    <row r="14" ht="32" customHeight="1">
      <c r="A14" s="3" t="inlineStr">
        <is>
          <t>Tier 1 Essential — $45/door, $25/drawer front, $450 base. Deep clean and degrease, restore the existing finish, colour-match minor scratches and water marks, tighten and adjust every door and drawer.</t>
        </is>
      </c>
    </row>
    <row r="15" ht="32" customHeight="1">
      <c r="A15" s="3" t="inlineStr">
        <is>
          <t>Tier 2 Enhanced — $60/door, $32/drawer front, $550 base. Everything in Tier 1, plus new knobs and pulls installed, hinge and drawer-glide adjustment or replacement, and repair of gouges, chips and worn edges.</t>
        </is>
      </c>
    </row>
    <row r="16" ht="32" customHeight="1">
      <c r="A16" s="3" t="inlineStr">
        <is>
          <t>Tier 3 Elite — $75/door, $40/drawer front, $650 base. Everything in Tier 2, plus full colour-matched repair of damaged doors and face frames, toe-kick and end-panel refresh, and an accessory or organiser allowance.</t>
        </is>
      </c>
    </row>
    <row r="18">
      <c r="A18" s="2" t="inlineStr">
        <is>
          <t>The $2,500 minimum</t>
        </is>
      </c>
    </row>
    <row r="19" ht="32" customHeight="1">
      <c r="A19" s="3" t="inlineStr">
        <is>
          <t>No Tune-Up goes out below $2,500. Under that number the drive time, measure, product minimums and set-up eat the entire margin. On this service the floor binds often: roughly under 27 doors at Tier 1, under 19 at Tier 2, under 14 at Tier 3. Those jobs are quoted at $2,500 and the sheet flags them.</t>
        </is>
      </c>
    </row>
    <row r="20" ht="32" customHeight="1">
      <c r="A20" s="3" t="inlineStr">
        <is>
          <t>Treat the flag as a trade-up moment, not an apology. The customer is paying $2,500 either way, so move them up a tier or add hardware, rollouts, a trash pullout or under-cabinet lighting and they get real value for the same check.</t>
        </is>
      </c>
    </row>
    <row r="22">
      <c r="A22" s="2" t="inlineStr">
        <is>
          <t>Add-ons</t>
        </is>
      </c>
    </row>
    <row r="23" ht="32" customHeight="1">
      <c r="A23" s="3" t="inlineStr">
        <is>
          <t>Hardware, rollouts, pullouts, lighting, crown, panels, drywall and trim paint price separately off the Rate Card and ride through the same shop labor and overhead math. Enter a quantity on the Quick Quote tab.</t>
        </is>
      </c>
    </row>
    <row r="25">
      <c r="A25" s="2" t="inlineStr">
        <is>
          <t>The margin guardrail</t>
        </is>
      </c>
    </row>
    <row r="26" ht="32" customHeight="1">
      <c r="A26" s="3" t="inlineStr">
        <is>
          <t>Every quote estimates crew hours from the scope and flags any job where direct labor runs over 20% of price — the internal ceiling. A flag means re-check the hour estimate or raise the price before it is signed.</t>
        </is>
      </c>
    </row>
    <row r="28">
      <c r="A28" s="2" t="inlineStr">
        <is>
          <t>Who changes what</t>
        </is>
      </c>
    </row>
    <row r="29" ht="32" customHeight="1">
      <c r="A29" s="3" t="inlineStr">
        <is>
          <t>Reps fill in the yellow cells on Quick Quote only. All rates live on the Rate Card tab and are owner-set, so every rep quotes the same kitchen the same way.</t>
        </is>
      </c>
    </row>
    <row r="31">
      <c r="A31" s="2" t="inlineStr">
        <is>
          <t>Where the numbers came from</t>
        </is>
      </c>
    </row>
    <row r="32" ht="32" customHeight="1">
      <c r="A32" s="3" t="inlineStr">
        <is>
          <t>Add-on rates, Shop Labor 24%, Shop Overhead 5% and the 20% labor ceiling are existing internal figures (KTU internal rate card, 2026-06-05, and the internal service-line standards). The $2,500 minimum is owner-set, 2026-08-18.</t>
        </is>
      </c>
    </row>
    <row r="33" ht="32" customHeight="1">
      <c r="A33" s="3" t="inlineStr">
        <is>
          <t>The per-door, per-drawer-front and job-base rates are assumption defaults set 2026-08-18 — no per-door Tune-Up price list existed in the Drive or the repo. Confirm them against recent signed Tune-Up proposals, then change them once on the Rate Card tab.</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6" customWidth="1" min="2" max="2"/>
    <col width="18" customWidth="1" min="3" max="3"/>
    <col width="14" customWidth="1" min="4" max="4"/>
    <col width="14" customWidth="1" min="5" max="5"/>
    <col width="14" customWidth="1" min="6" max="6"/>
    <col width="14" customWidth="1" min="7" max="7"/>
    <col width="14" customWidth="1" min="8" max="8"/>
  </cols>
  <sheetData>
    <row r="1" ht="24" customHeight="1">
      <c r="A1" s="1" t="inlineStr">
        <is>
          <t>TUNE-UP RATE CARD — owner-set. Edit the yellow cells; every tab follows them.</t>
        </is>
      </c>
    </row>
    <row r="3">
      <c r="A3" s="4" t="inlineStr">
        <is>
          <t>Per-door and per-drawer-front prices are LINE-ITEM prices. Shop Labor and Shop Overhead are added on top as their own proposal lines, exactly as in ServiceMinder.</t>
        </is>
      </c>
    </row>
    <row r="5">
      <c r="A5" s="5" t="inlineStr">
        <is>
          <t>Tier</t>
        </is>
      </c>
      <c r="B5" s="5" t="inlineStr">
        <is>
          <t>Per Door</t>
        </is>
      </c>
      <c r="C5" s="5" t="inlineStr">
        <is>
          <t>Per Drawer Front</t>
        </is>
      </c>
      <c r="D5" s="5" t="inlineStr">
        <is>
          <t>Job Base</t>
        </is>
      </c>
      <c r="E5" s="5" t="inlineStr">
        <is>
          <t>Hrs / Door</t>
        </is>
      </c>
      <c r="F5" s="5" t="inlineStr">
        <is>
          <t>Hrs / Drawer Front</t>
        </is>
      </c>
      <c r="G5" s="5" t="inlineStr">
        <is>
          <t>Base Hrs</t>
        </is>
      </c>
      <c r="H5" s="5" t="inlineStr">
        <is>
          <t>Crew Rate $/hr</t>
        </is>
      </c>
    </row>
    <row r="6">
      <c r="A6" s="6" t="inlineStr">
        <is>
          <t>Tier 1 — Essential</t>
        </is>
      </c>
      <c r="B6" s="7" t="n">
        <v>45</v>
      </c>
      <c r="C6" s="7" t="n">
        <v>25</v>
      </c>
      <c r="D6" s="7" t="n">
        <v>450</v>
      </c>
      <c r="E6" s="8" t="n">
        <v>0.3</v>
      </c>
      <c r="F6" s="8" t="n">
        <v>0.12</v>
      </c>
      <c r="G6" s="9" t="n">
        <v>4</v>
      </c>
      <c r="H6" s="7" t="n">
        <v>65</v>
      </c>
    </row>
    <row r="7">
      <c r="A7" s="6" t="inlineStr">
        <is>
          <t>Tier 2 — Enhanced</t>
        </is>
      </c>
      <c r="B7" s="7" t="n">
        <v>60</v>
      </c>
      <c r="C7" s="7" t="n">
        <v>32</v>
      </c>
      <c r="D7" s="7" t="n">
        <v>550</v>
      </c>
      <c r="E7" s="8" t="n">
        <v>0.38</v>
      </c>
      <c r="F7" s="8" t="n">
        <v>0.16</v>
      </c>
      <c r="G7" s="9" t="n">
        <v>5</v>
      </c>
      <c r="H7" s="7" t="n">
        <v>65</v>
      </c>
    </row>
    <row r="8">
      <c r="A8" s="6" t="inlineStr">
        <is>
          <t>Tier 3 — Elite</t>
        </is>
      </c>
      <c r="B8" s="7" t="n">
        <v>75</v>
      </c>
      <c r="C8" s="7" t="n">
        <v>40</v>
      </c>
      <c r="D8" s="7" t="n">
        <v>650</v>
      </c>
      <c r="E8" s="8" t="n">
        <v>0.48</v>
      </c>
      <c r="F8" s="8" t="n">
        <v>0.2</v>
      </c>
      <c r="G8" s="9" t="n">
        <v>6</v>
      </c>
      <c r="H8" s="7" t="n">
        <v>65</v>
      </c>
    </row>
    <row r="10">
      <c r="A10" s="4" t="inlineStr">
        <is>
          <t>Source: per-door, per-drawer-front, job-base and crew-hour figures are ASSUMPTION defaults set 2026-08-18 — no per-door Tune-Up price list existed in the Drive or the repo. Confirm against recent signed Tune-Up proposals before field use. Crew rate $65/hr is the internal Track A rate.</t>
        </is>
      </c>
    </row>
    <row r="12">
      <c r="A12" s="10" t="inlineStr">
        <is>
          <t>SETTINGS</t>
        </is>
      </c>
    </row>
    <row r="13">
      <c r="A13" s="11" t="inlineStr">
        <is>
          <t>Shop Labor %</t>
        </is>
      </c>
      <c r="B13" s="12" t="n">
        <v>0.24</v>
      </c>
      <c r="C13" s="4" t="inlineStr">
        <is>
          <t>Internal — its own proposal line</t>
        </is>
      </c>
    </row>
    <row r="14">
      <c r="A14" s="11" t="inlineStr">
        <is>
          <t>Shop Overhead %</t>
        </is>
      </c>
      <c r="B14" s="12" t="n">
        <v>0.05</v>
      </c>
      <c r="C14" s="4" t="inlineStr">
        <is>
          <t>Internal — its own proposal line</t>
        </is>
      </c>
    </row>
    <row r="15">
      <c r="A15" s="11" t="inlineStr">
        <is>
          <t>Job minimum ($)</t>
        </is>
      </c>
      <c r="B15" s="7" t="n">
        <v>2500</v>
      </c>
      <c r="C15" s="4" t="inlineStr">
        <is>
          <t>Owner-set 2026-08-18 — no Tune-Up quotes below this</t>
        </is>
      </c>
    </row>
    <row r="16">
      <c r="A16" s="11" t="inlineStr">
        <is>
          <t>Deposit %</t>
        </is>
      </c>
      <c r="B16" s="12" t="n">
        <v>0.5</v>
      </c>
      <c r="C16" s="4" t="inlineStr">
        <is>
          <t>Collected at signing</t>
        </is>
      </c>
    </row>
    <row r="17">
      <c r="A17" s="11" t="inlineStr">
        <is>
          <t>Direct labor ceiling %</t>
        </is>
      </c>
      <c r="B17" s="12" t="n">
        <v>0.2</v>
      </c>
      <c r="C17" s="4" t="inlineStr">
        <is>
          <t>Internal target — flag any job above this</t>
        </is>
      </c>
    </row>
    <row r="18">
      <c r="A18" s="11" t="inlineStr">
        <is>
          <t>Drawer fronts per door (matrix est.)</t>
        </is>
      </c>
      <c r="B18" s="8" t="n">
        <v>0.45</v>
      </c>
      <c r="C18" s="4" t="inlineStr">
        <is>
          <t>Used only by the Price by Door Count tab</t>
        </is>
      </c>
    </row>
    <row r="20">
      <c r="A20" s="10" t="inlineStr">
        <is>
          <t>WHAT EACH TIER INCLUDES</t>
        </is>
      </c>
    </row>
    <row r="21">
      <c r="A21" s="5" t="inlineStr">
        <is>
          <t>Tier</t>
        </is>
      </c>
      <c r="B21" s="5" t="inlineStr">
        <is>
          <t>Scope</t>
        </is>
      </c>
    </row>
    <row r="22" ht="42" customHeight="1">
      <c r="A22" s="6" t="inlineStr">
        <is>
          <t>Tier 1 — Essential</t>
        </is>
      </c>
      <c r="B22" s="13" t="inlineStr">
        <is>
          <t>Deep clean and degrease, restore the existing finish, colour-match minor scratches and water marks, tighten and adjust every door and drawer, re-set doors to square.</t>
        </is>
      </c>
      <c r="C22" s="14" t="n"/>
      <c r="D22" s="14" t="n"/>
      <c r="E22" s="14" t="n"/>
      <c r="F22" s="14" t="n"/>
      <c r="G22" s="14" t="n"/>
      <c r="H22" s="15" t="n"/>
    </row>
    <row r="23" ht="42" customHeight="1">
      <c r="A23" s="6" t="inlineStr">
        <is>
          <t>Tier 2 — Enhanced</t>
        </is>
      </c>
      <c r="B23" s="13" t="inlineStr">
        <is>
          <t>Everything in Tier 1, plus new knobs and pulls installed, hinge and drawer-glide adjustment or replacement, and repair of gouges, chips and worn edges.</t>
        </is>
      </c>
      <c r="C23" s="14" t="n"/>
      <c r="D23" s="14" t="n"/>
      <c r="E23" s="14" t="n"/>
      <c r="F23" s="14" t="n"/>
      <c r="G23" s="14" t="n"/>
      <c r="H23" s="15" t="n"/>
    </row>
    <row r="24" ht="42" customHeight="1">
      <c r="A24" s="6" t="inlineStr">
        <is>
          <t>Tier 3 — Elite</t>
        </is>
      </c>
      <c r="B24" s="13" t="inlineStr">
        <is>
          <t>Everything in Tier 2, plus full colour-matched repair of damaged doors and face frames, toe-kick and end-panel refresh, and an accessory or organiser allowance.</t>
        </is>
      </c>
      <c r="C24" s="14" t="n"/>
      <c r="D24" s="14" t="n"/>
      <c r="E24" s="14" t="n"/>
      <c r="F24" s="14" t="n"/>
      <c r="G24" s="14" t="n"/>
      <c r="H24" s="15" t="n"/>
    </row>
    <row r="26">
      <c r="A26" s="10" t="inlineStr">
        <is>
          <t>TUNE-UP ADD-ONS</t>
        </is>
      </c>
    </row>
    <row r="27">
      <c r="A27" s="5" t="inlineStr">
        <is>
          <t>Add-On</t>
        </is>
      </c>
      <c r="B27" s="5" t="inlineStr">
        <is>
          <t>Unit</t>
        </is>
      </c>
      <c r="C27" s="5" t="inlineStr">
        <is>
          <t>Rate</t>
        </is>
      </c>
      <c r="D27" s="5" t="inlineStr">
        <is>
          <t>Source</t>
        </is>
      </c>
    </row>
    <row r="28">
      <c r="A28" s="16" t="inlineStr">
        <is>
          <t>Hardware — material</t>
        </is>
      </c>
      <c r="B28" s="16" t="inlineStr">
        <is>
          <t>per piece</t>
        </is>
      </c>
      <c r="C28" s="7" t="n">
        <v>17</v>
      </c>
      <c r="D28" s="17" t="inlineStr">
        <is>
          <t>KTU internal rate card, 2026-06-05</t>
        </is>
      </c>
    </row>
    <row r="29">
      <c r="A29" s="16" t="inlineStr">
        <is>
          <t>Hardware — install</t>
        </is>
      </c>
      <c r="B29" s="16" t="inlineStr">
        <is>
          <t>per piece</t>
        </is>
      </c>
      <c r="C29" s="7" t="n">
        <v>17</v>
      </c>
      <c r="D29" s="17" t="inlineStr">
        <is>
          <t>KTU internal rate card, 2026-06-05</t>
        </is>
      </c>
    </row>
    <row r="30">
      <c r="A30" s="16" t="inlineStr">
        <is>
          <t>Rollout trays</t>
        </is>
      </c>
      <c r="B30" s="16" t="inlineStr">
        <is>
          <t>each</t>
        </is>
      </c>
      <c r="C30" s="7" t="n">
        <v>275</v>
      </c>
      <c r="D30" s="17" t="inlineStr">
        <is>
          <t>KTU internal rate card, 2026-06-05</t>
        </is>
      </c>
    </row>
    <row r="31">
      <c r="A31" s="16" t="inlineStr">
        <is>
          <t>Trash pullout</t>
        </is>
      </c>
      <c r="B31" s="16" t="inlineStr">
        <is>
          <t>each</t>
        </is>
      </c>
      <c r="C31" s="7" t="n">
        <v>450</v>
      </c>
      <c r="D31" s="17" t="inlineStr">
        <is>
          <t>KTU internal rate card, 2026-06-05</t>
        </is>
      </c>
    </row>
    <row r="32">
      <c r="A32" s="16" t="inlineStr">
        <is>
          <t>Lazy Susan</t>
        </is>
      </c>
      <c r="B32" s="16" t="inlineStr">
        <is>
          <t>each</t>
        </is>
      </c>
      <c r="C32" s="7" t="n">
        <v>460</v>
      </c>
      <c r="D32" s="17" t="inlineStr">
        <is>
          <t>KTU internal rate card, 2026-06-05</t>
        </is>
      </c>
    </row>
    <row r="33">
      <c r="A33" s="16" t="inlineStr">
        <is>
          <t>Undercabinet lighting</t>
        </is>
      </c>
      <c r="B33" s="16" t="inlineStr">
        <is>
          <t>per job</t>
        </is>
      </c>
      <c r="C33" s="7" t="n">
        <v>1150</v>
      </c>
      <c r="D33" s="17" t="inlineStr">
        <is>
          <t>KTU internal rate card, 2026-06-05</t>
        </is>
      </c>
    </row>
    <row r="34">
      <c r="A34" s="16" t="inlineStr">
        <is>
          <t>Add crown molding</t>
        </is>
      </c>
      <c r="B34" s="16" t="inlineStr">
        <is>
          <t>per run</t>
        </is>
      </c>
      <c r="C34" s="7" t="n">
        <v>230</v>
      </c>
      <c r="D34" s="17" t="inlineStr">
        <is>
          <t>KTU internal rate card, 2026-06-05</t>
        </is>
      </c>
    </row>
    <row r="35">
      <c r="A35" s="16" t="inlineStr">
        <is>
          <t>Crown transition</t>
        </is>
      </c>
      <c r="B35" s="16" t="inlineStr">
        <is>
          <t>per piece</t>
        </is>
      </c>
      <c r="C35" s="7" t="n">
        <v>230</v>
      </c>
      <c r="D35" s="17" t="inlineStr">
        <is>
          <t>KTU internal rate card, 2026-06-05</t>
        </is>
      </c>
    </row>
    <row r="36">
      <c r="A36" s="16" t="inlineStr">
        <is>
          <t>Matching end panels</t>
        </is>
      </c>
      <c r="B36" s="16" t="inlineStr">
        <is>
          <t>each</t>
        </is>
      </c>
      <c r="C36" s="7" t="n">
        <v>192</v>
      </c>
      <c r="D36" s="17" t="inlineStr">
        <is>
          <t>KTU internal rate card, 2026-06-05</t>
        </is>
      </c>
    </row>
    <row r="37">
      <c r="A37" s="16" t="inlineStr">
        <is>
          <t>Refrigerator panel</t>
        </is>
      </c>
      <c r="B37" s="16" t="inlineStr">
        <is>
          <t>each</t>
        </is>
      </c>
      <c r="C37" s="7" t="n">
        <v>345</v>
      </c>
      <c r="D37" s="17" t="inlineStr">
        <is>
          <t>KTU internal rate card, 2026-06-05</t>
        </is>
      </c>
    </row>
    <row r="38">
      <c r="A38" s="16" t="inlineStr">
        <is>
          <t>Repair drywall and spackle</t>
        </is>
      </c>
      <c r="B38" s="16" t="inlineStr">
        <is>
          <t>per area</t>
        </is>
      </c>
      <c r="C38" s="7" t="n">
        <v>650</v>
      </c>
      <c r="D38" s="17" t="inlineStr">
        <is>
          <t>KTU internal rate card, 2026-06-05</t>
        </is>
      </c>
    </row>
    <row r="39">
      <c r="A39" s="16" t="inlineStr">
        <is>
          <t>Paint kitchen trims</t>
        </is>
      </c>
      <c r="B39" s="16" t="inlineStr">
        <is>
          <t>per job</t>
        </is>
      </c>
      <c r="C39" s="7" t="n">
        <v>650</v>
      </c>
      <c r="D39" s="17" t="inlineStr">
        <is>
          <t>KTU internal rate card, 2026-06-05</t>
        </is>
      </c>
    </row>
    <row r="40">
      <c r="A40" s="16" t="inlineStr">
        <is>
          <t>Sink hook-up</t>
        </is>
      </c>
      <c r="B40" s="16" t="inlineStr">
        <is>
          <t>each</t>
        </is>
      </c>
      <c r="C40" s="7" t="n">
        <v>385</v>
      </c>
      <c r="D40" s="17" t="inlineStr">
        <is>
          <t>KTU internal rate card, 2026-06-05</t>
        </is>
      </c>
    </row>
    <row r="41">
      <c r="A41" s="16" t="inlineStr">
        <is>
          <t>Granite / countertop tune-up</t>
        </is>
      </c>
      <c r="B41" s="16" t="inlineStr">
        <is>
          <t>per job</t>
        </is>
      </c>
      <c r="C41" s="7" t="n">
        <v>450</v>
      </c>
      <c r="D41" s="17" t="inlineStr">
        <is>
          <t>Assumption — confirm</t>
        </is>
      </c>
    </row>
    <row r="42">
      <c r="A42" s="16" t="inlineStr">
        <is>
          <t>Extra day on site</t>
        </is>
      </c>
      <c r="B42" s="16" t="inlineStr">
        <is>
          <t>per day</t>
        </is>
      </c>
      <c r="C42" s="7" t="n">
        <v>900</v>
      </c>
      <c r="D42" s="17" t="inlineStr">
        <is>
          <t>Assumption — confirm</t>
        </is>
      </c>
    </row>
  </sheetData>
  <mergeCells count="4">
    <mergeCell ref="B22:H22"/>
    <mergeCell ref="B24:H24"/>
    <mergeCell ref="B23:H2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1" t="inlineStr">
        <is>
          <t>TUNE-UP PRICE BY DOOR COUNT — all-in, including Shop Labor, Overhead and the $2,500 minimum</t>
        </is>
      </c>
    </row>
    <row r="3">
      <c r="A3" s="4" t="inlineStr">
        <is>
          <t>Drawer fronts estimated at the Rate Card ratio (default 0.45 per door). Add-ons are not included. Shaded prices are jobs where the $2,500 minimum did the pricing, not the door count.</t>
        </is>
      </c>
    </row>
    <row r="5" ht="32" customHeight="1">
      <c r="A5" s="5" t="inlineStr">
        <is>
          <t>Doors</t>
        </is>
      </c>
      <c r="B5" s="5" t="inlineStr">
        <is>
          <t>Drawer fronts (est.)</t>
        </is>
      </c>
      <c r="C5" s="5" t="inlineStr">
        <is>
          <t>Tier 1 — Essential</t>
        </is>
      </c>
      <c r="D5" s="5" t="inlineStr">
        <is>
          <t>Tier 2 — Enhanced</t>
        </is>
      </c>
      <c r="E5" s="5" t="inlineStr">
        <is>
          <t>Tier 3 — Elite</t>
        </is>
      </c>
      <c r="F5" s="5" t="inlineStr">
        <is>
          <t>Tier 1 per door</t>
        </is>
      </c>
      <c r="G5" s="5" t="inlineStr">
        <is>
          <t>Tier 2 per door</t>
        </is>
      </c>
      <c r="H5" s="5" t="inlineStr">
        <is>
          <t>Tier 3 per door</t>
        </is>
      </c>
    </row>
    <row r="6">
      <c r="A6" s="18" t="n">
        <v>8</v>
      </c>
      <c r="B6" s="19">
        <f>ROUND($A6*'Rate Card'!$B$18,0)</f>
        <v/>
      </c>
      <c r="C6" s="20">
        <f>MAX('Rate Card'!$B$15,('Rate Card'!$D$6+$A6*'Rate Card'!$B$6+$B6*'Rate Card'!$C$6)*(1+'Rate Card'!$B$13+'Rate Card'!$B$14))</f>
        <v/>
      </c>
      <c r="D6" s="20">
        <f>MAX('Rate Card'!$B$15,('Rate Card'!$D$7+$A6*'Rate Card'!$B$7+$B6*'Rate Card'!$C$7)*(1+'Rate Card'!$B$13+'Rate Card'!$B$14))</f>
        <v/>
      </c>
      <c r="E6" s="20">
        <f>MAX('Rate Card'!$B$15,('Rate Card'!$D$8+$A6*'Rate Card'!$B$8+$B6*'Rate Card'!$C$8)*(1+'Rate Card'!$B$13+'Rate Card'!$B$14))</f>
        <v/>
      </c>
      <c r="F6" s="20">
        <f>C6/$A6</f>
        <v/>
      </c>
      <c r="G6" s="20">
        <f>D6/$A6</f>
        <v/>
      </c>
      <c r="H6" s="20">
        <f>E6/$A6</f>
        <v/>
      </c>
    </row>
    <row r="7">
      <c r="A7" s="18" t="n">
        <v>10</v>
      </c>
      <c r="B7" s="19">
        <f>ROUND($A7*'Rate Card'!$B$18,0)</f>
        <v/>
      </c>
      <c r="C7" s="20">
        <f>MAX('Rate Card'!$B$15,('Rate Card'!$D$6+$A7*'Rate Card'!$B$6+$B7*'Rate Card'!$C$6)*(1+'Rate Card'!$B$13+'Rate Card'!$B$14))</f>
        <v/>
      </c>
      <c r="D7" s="20">
        <f>MAX('Rate Card'!$B$15,('Rate Card'!$D$7+$A7*'Rate Card'!$B$7+$B7*'Rate Card'!$C$7)*(1+'Rate Card'!$B$13+'Rate Card'!$B$14))</f>
        <v/>
      </c>
      <c r="E7" s="20">
        <f>MAX('Rate Card'!$B$15,('Rate Card'!$D$8+$A7*'Rate Card'!$B$8+$B7*'Rate Card'!$C$8)*(1+'Rate Card'!$B$13+'Rate Card'!$B$14))</f>
        <v/>
      </c>
      <c r="F7" s="20">
        <f>C7/$A7</f>
        <v/>
      </c>
      <c r="G7" s="20">
        <f>D7/$A7</f>
        <v/>
      </c>
      <c r="H7" s="20">
        <f>E7/$A7</f>
        <v/>
      </c>
    </row>
    <row r="8">
      <c r="A8" s="18" t="n">
        <v>12</v>
      </c>
      <c r="B8" s="19">
        <f>ROUND($A8*'Rate Card'!$B$18,0)</f>
        <v/>
      </c>
      <c r="C8" s="20">
        <f>MAX('Rate Card'!$B$15,('Rate Card'!$D$6+$A8*'Rate Card'!$B$6+$B8*'Rate Card'!$C$6)*(1+'Rate Card'!$B$13+'Rate Card'!$B$14))</f>
        <v/>
      </c>
      <c r="D8" s="20">
        <f>MAX('Rate Card'!$B$15,('Rate Card'!$D$7+$A8*'Rate Card'!$B$7+$B8*'Rate Card'!$C$7)*(1+'Rate Card'!$B$13+'Rate Card'!$B$14))</f>
        <v/>
      </c>
      <c r="E8" s="20">
        <f>MAX('Rate Card'!$B$15,('Rate Card'!$D$8+$A8*'Rate Card'!$B$8+$B8*'Rate Card'!$C$8)*(1+'Rate Card'!$B$13+'Rate Card'!$B$14))</f>
        <v/>
      </c>
      <c r="F8" s="20">
        <f>C8/$A8</f>
        <v/>
      </c>
      <c r="G8" s="20">
        <f>D8/$A8</f>
        <v/>
      </c>
      <c r="H8" s="20">
        <f>E8/$A8</f>
        <v/>
      </c>
    </row>
    <row r="9">
      <c r="A9" s="18" t="n">
        <v>14</v>
      </c>
      <c r="B9" s="19">
        <f>ROUND($A9*'Rate Card'!$B$18,0)</f>
        <v/>
      </c>
      <c r="C9" s="20">
        <f>MAX('Rate Card'!$B$15,('Rate Card'!$D$6+$A9*'Rate Card'!$B$6+$B9*'Rate Card'!$C$6)*(1+'Rate Card'!$B$13+'Rate Card'!$B$14))</f>
        <v/>
      </c>
      <c r="D9" s="20">
        <f>MAX('Rate Card'!$B$15,('Rate Card'!$D$7+$A9*'Rate Card'!$B$7+$B9*'Rate Card'!$C$7)*(1+'Rate Card'!$B$13+'Rate Card'!$B$14))</f>
        <v/>
      </c>
      <c r="E9" s="21">
        <f>MAX('Rate Card'!$B$15,('Rate Card'!$D$8+$A9*'Rate Card'!$B$8+$B9*'Rate Card'!$C$8)*(1+'Rate Card'!$B$13+'Rate Card'!$B$14))</f>
        <v/>
      </c>
      <c r="F9" s="20">
        <f>C9/$A9</f>
        <v/>
      </c>
      <c r="G9" s="20">
        <f>D9/$A9</f>
        <v/>
      </c>
      <c r="H9" s="21">
        <f>E9/$A9</f>
        <v/>
      </c>
    </row>
    <row r="10">
      <c r="A10" s="18" t="n">
        <v>16</v>
      </c>
      <c r="B10" s="19">
        <f>ROUND($A10*'Rate Card'!$B$18,0)</f>
        <v/>
      </c>
      <c r="C10" s="20">
        <f>MAX('Rate Card'!$B$15,('Rate Card'!$D$6+$A10*'Rate Card'!$B$6+$B10*'Rate Card'!$C$6)*(1+'Rate Card'!$B$13+'Rate Card'!$B$14))</f>
        <v/>
      </c>
      <c r="D10" s="20">
        <f>MAX('Rate Card'!$B$15,('Rate Card'!$D$7+$A10*'Rate Card'!$B$7+$B10*'Rate Card'!$C$7)*(1+'Rate Card'!$B$13+'Rate Card'!$B$14))</f>
        <v/>
      </c>
      <c r="E10" s="21">
        <f>MAX('Rate Card'!$B$15,('Rate Card'!$D$8+$A10*'Rate Card'!$B$8+$B10*'Rate Card'!$C$8)*(1+'Rate Card'!$B$13+'Rate Card'!$B$14))</f>
        <v/>
      </c>
      <c r="F10" s="20">
        <f>C10/$A10</f>
        <v/>
      </c>
      <c r="G10" s="20">
        <f>D10/$A10</f>
        <v/>
      </c>
      <c r="H10" s="21">
        <f>E10/$A10</f>
        <v/>
      </c>
    </row>
    <row r="11">
      <c r="A11" s="18" t="n">
        <v>18</v>
      </c>
      <c r="B11" s="19">
        <f>ROUND($A11*'Rate Card'!$B$18,0)</f>
        <v/>
      </c>
      <c r="C11" s="20">
        <f>MAX('Rate Card'!$B$15,('Rate Card'!$D$6+$A11*'Rate Card'!$B$6+$B11*'Rate Card'!$C$6)*(1+'Rate Card'!$B$13+'Rate Card'!$B$14))</f>
        <v/>
      </c>
      <c r="D11" s="20">
        <f>MAX('Rate Card'!$B$15,('Rate Card'!$D$7+$A11*'Rate Card'!$B$7+$B11*'Rate Card'!$C$7)*(1+'Rate Card'!$B$13+'Rate Card'!$B$14))</f>
        <v/>
      </c>
      <c r="E11" s="21">
        <f>MAX('Rate Card'!$B$15,('Rate Card'!$D$8+$A11*'Rate Card'!$B$8+$B11*'Rate Card'!$C$8)*(1+'Rate Card'!$B$13+'Rate Card'!$B$14))</f>
        <v/>
      </c>
      <c r="F11" s="20">
        <f>C11/$A11</f>
        <v/>
      </c>
      <c r="G11" s="20">
        <f>D11/$A11</f>
        <v/>
      </c>
      <c r="H11" s="21">
        <f>E11/$A11</f>
        <v/>
      </c>
    </row>
    <row r="12">
      <c r="A12" s="18" t="n">
        <v>20</v>
      </c>
      <c r="B12" s="19">
        <f>ROUND($A12*'Rate Card'!$B$18,0)</f>
        <v/>
      </c>
      <c r="C12" s="20">
        <f>MAX('Rate Card'!$B$15,('Rate Card'!$D$6+$A12*'Rate Card'!$B$6+$B12*'Rate Card'!$C$6)*(1+'Rate Card'!$B$13+'Rate Card'!$B$14))</f>
        <v/>
      </c>
      <c r="D12" s="21">
        <f>MAX('Rate Card'!$B$15,('Rate Card'!$D$7+$A12*'Rate Card'!$B$7+$B12*'Rate Card'!$C$7)*(1+'Rate Card'!$B$13+'Rate Card'!$B$14))</f>
        <v/>
      </c>
      <c r="E12" s="21">
        <f>MAX('Rate Card'!$B$15,('Rate Card'!$D$8+$A12*'Rate Card'!$B$8+$B12*'Rate Card'!$C$8)*(1+'Rate Card'!$B$13+'Rate Card'!$B$14))</f>
        <v/>
      </c>
      <c r="F12" s="20">
        <f>C12/$A12</f>
        <v/>
      </c>
      <c r="G12" s="21">
        <f>D12/$A12</f>
        <v/>
      </c>
      <c r="H12" s="21">
        <f>E12/$A12</f>
        <v/>
      </c>
    </row>
    <row r="13">
      <c r="A13" s="18" t="n">
        <v>22</v>
      </c>
      <c r="B13" s="19">
        <f>ROUND($A13*'Rate Card'!$B$18,0)</f>
        <v/>
      </c>
      <c r="C13" s="20">
        <f>MAX('Rate Card'!$B$15,('Rate Card'!$D$6+$A13*'Rate Card'!$B$6+$B13*'Rate Card'!$C$6)*(1+'Rate Card'!$B$13+'Rate Card'!$B$14))</f>
        <v/>
      </c>
      <c r="D13" s="21">
        <f>MAX('Rate Card'!$B$15,('Rate Card'!$D$7+$A13*'Rate Card'!$B$7+$B13*'Rate Card'!$C$7)*(1+'Rate Card'!$B$13+'Rate Card'!$B$14))</f>
        <v/>
      </c>
      <c r="E13" s="21">
        <f>MAX('Rate Card'!$B$15,('Rate Card'!$D$8+$A13*'Rate Card'!$B$8+$B13*'Rate Card'!$C$8)*(1+'Rate Card'!$B$13+'Rate Card'!$B$14))</f>
        <v/>
      </c>
      <c r="F13" s="20">
        <f>C13/$A13</f>
        <v/>
      </c>
      <c r="G13" s="21">
        <f>D13/$A13</f>
        <v/>
      </c>
      <c r="H13" s="21">
        <f>E13/$A13</f>
        <v/>
      </c>
    </row>
    <row r="14">
      <c r="A14" s="18" t="n">
        <v>24</v>
      </c>
      <c r="B14" s="19">
        <f>ROUND($A14*'Rate Card'!$B$18,0)</f>
        <v/>
      </c>
      <c r="C14" s="20">
        <f>MAX('Rate Card'!$B$15,('Rate Card'!$D$6+$A14*'Rate Card'!$B$6+$B14*'Rate Card'!$C$6)*(1+'Rate Card'!$B$13+'Rate Card'!$B$14))</f>
        <v/>
      </c>
      <c r="D14" s="21">
        <f>MAX('Rate Card'!$B$15,('Rate Card'!$D$7+$A14*'Rate Card'!$B$7+$B14*'Rate Card'!$C$7)*(1+'Rate Card'!$B$13+'Rate Card'!$B$14))</f>
        <v/>
      </c>
      <c r="E14" s="21">
        <f>MAX('Rate Card'!$B$15,('Rate Card'!$D$8+$A14*'Rate Card'!$B$8+$B14*'Rate Card'!$C$8)*(1+'Rate Card'!$B$13+'Rate Card'!$B$14))</f>
        <v/>
      </c>
      <c r="F14" s="20">
        <f>C14/$A14</f>
        <v/>
      </c>
      <c r="G14" s="21">
        <f>D14/$A14</f>
        <v/>
      </c>
      <c r="H14" s="21">
        <f>E14/$A14</f>
        <v/>
      </c>
    </row>
    <row r="15">
      <c r="A15" s="18" t="n">
        <v>26</v>
      </c>
      <c r="B15" s="19">
        <f>ROUND($A15*'Rate Card'!$B$18,0)</f>
        <v/>
      </c>
      <c r="C15" s="20">
        <f>MAX('Rate Card'!$B$15,('Rate Card'!$D$6+$A15*'Rate Card'!$B$6+$B15*'Rate Card'!$C$6)*(1+'Rate Card'!$B$13+'Rate Card'!$B$14))</f>
        <v/>
      </c>
      <c r="D15" s="21">
        <f>MAX('Rate Card'!$B$15,('Rate Card'!$D$7+$A15*'Rate Card'!$B$7+$B15*'Rate Card'!$C$7)*(1+'Rate Card'!$B$13+'Rate Card'!$B$14))</f>
        <v/>
      </c>
      <c r="E15" s="21">
        <f>MAX('Rate Card'!$B$15,('Rate Card'!$D$8+$A15*'Rate Card'!$B$8+$B15*'Rate Card'!$C$8)*(1+'Rate Card'!$B$13+'Rate Card'!$B$14))</f>
        <v/>
      </c>
      <c r="F15" s="20">
        <f>C15/$A15</f>
        <v/>
      </c>
      <c r="G15" s="21">
        <f>D15/$A15</f>
        <v/>
      </c>
      <c r="H15" s="21">
        <f>E15/$A15</f>
        <v/>
      </c>
    </row>
    <row r="16">
      <c r="A16" s="18" t="n">
        <v>28</v>
      </c>
      <c r="B16" s="19">
        <f>ROUND($A16*'Rate Card'!$B$18,0)</f>
        <v/>
      </c>
      <c r="C16" s="21">
        <f>MAX('Rate Card'!$B$15,('Rate Card'!$D$6+$A16*'Rate Card'!$B$6+$B16*'Rate Card'!$C$6)*(1+'Rate Card'!$B$13+'Rate Card'!$B$14))</f>
        <v/>
      </c>
      <c r="D16" s="21">
        <f>MAX('Rate Card'!$B$15,('Rate Card'!$D$7+$A16*'Rate Card'!$B$7+$B16*'Rate Card'!$C$7)*(1+'Rate Card'!$B$13+'Rate Card'!$B$14))</f>
        <v/>
      </c>
      <c r="E16" s="21">
        <f>MAX('Rate Card'!$B$15,('Rate Card'!$D$8+$A16*'Rate Card'!$B$8+$B16*'Rate Card'!$C$8)*(1+'Rate Card'!$B$13+'Rate Card'!$B$14))</f>
        <v/>
      </c>
      <c r="F16" s="21">
        <f>C16/$A16</f>
        <v/>
      </c>
      <c r="G16" s="21">
        <f>D16/$A16</f>
        <v/>
      </c>
      <c r="H16" s="21">
        <f>E16/$A16</f>
        <v/>
      </c>
    </row>
    <row r="17">
      <c r="A17" s="18" t="n">
        <v>30</v>
      </c>
      <c r="B17" s="19">
        <f>ROUND($A17*'Rate Card'!$B$18,0)</f>
        <v/>
      </c>
      <c r="C17" s="21">
        <f>MAX('Rate Card'!$B$15,('Rate Card'!$D$6+$A17*'Rate Card'!$B$6+$B17*'Rate Card'!$C$6)*(1+'Rate Card'!$B$13+'Rate Card'!$B$14))</f>
        <v/>
      </c>
      <c r="D17" s="21">
        <f>MAX('Rate Card'!$B$15,('Rate Card'!$D$7+$A17*'Rate Card'!$B$7+$B17*'Rate Card'!$C$7)*(1+'Rate Card'!$B$13+'Rate Card'!$B$14))</f>
        <v/>
      </c>
      <c r="E17" s="21">
        <f>MAX('Rate Card'!$B$15,('Rate Card'!$D$8+$A17*'Rate Card'!$B$8+$B17*'Rate Card'!$C$8)*(1+'Rate Card'!$B$13+'Rate Card'!$B$14))</f>
        <v/>
      </c>
      <c r="F17" s="21">
        <f>C17/$A17</f>
        <v/>
      </c>
      <c r="G17" s="21">
        <f>D17/$A17</f>
        <v/>
      </c>
      <c r="H17" s="21">
        <f>E17/$A17</f>
        <v/>
      </c>
    </row>
    <row r="18">
      <c r="A18" s="18" t="n">
        <v>32</v>
      </c>
      <c r="B18" s="19">
        <f>ROUND($A18*'Rate Card'!$B$18,0)</f>
        <v/>
      </c>
      <c r="C18" s="21">
        <f>MAX('Rate Card'!$B$15,('Rate Card'!$D$6+$A18*'Rate Card'!$B$6+$B18*'Rate Card'!$C$6)*(1+'Rate Card'!$B$13+'Rate Card'!$B$14))</f>
        <v/>
      </c>
      <c r="D18" s="21">
        <f>MAX('Rate Card'!$B$15,('Rate Card'!$D$7+$A18*'Rate Card'!$B$7+$B18*'Rate Card'!$C$7)*(1+'Rate Card'!$B$13+'Rate Card'!$B$14))</f>
        <v/>
      </c>
      <c r="E18" s="21">
        <f>MAX('Rate Card'!$B$15,('Rate Card'!$D$8+$A18*'Rate Card'!$B$8+$B18*'Rate Card'!$C$8)*(1+'Rate Card'!$B$13+'Rate Card'!$B$14))</f>
        <v/>
      </c>
      <c r="F18" s="21">
        <f>C18/$A18</f>
        <v/>
      </c>
      <c r="G18" s="21">
        <f>D18/$A18</f>
        <v/>
      </c>
      <c r="H18" s="21">
        <f>E18/$A18</f>
        <v/>
      </c>
    </row>
    <row r="19">
      <c r="A19" s="18" t="n">
        <v>34</v>
      </c>
      <c r="B19" s="19">
        <f>ROUND($A19*'Rate Card'!$B$18,0)</f>
        <v/>
      </c>
      <c r="C19" s="21">
        <f>MAX('Rate Card'!$B$15,('Rate Card'!$D$6+$A19*'Rate Card'!$B$6+$B19*'Rate Card'!$C$6)*(1+'Rate Card'!$B$13+'Rate Card'!$B$14))</f>
        <v/>
      </c>
      <c r="D19" s="21">
        <f>MAX('Rate Card'!$B$15,('Rate Card'!$D$7+$A19*'Rate Card'!$B$7+$B19*'Rate Card'!$C$7)*(1+'Rate Card'!$B$13+'Rate Card'!$B$14))</f>
        <v/>
      </c>
      <c r="E19" s="21">
        <f>MAX('Rate Card'!$B$15,('Rate Card'!$D$8+$A19*'Rate Card'!$B$8+$B19*'Rate Card'!$C$8)*(1+'Rate Card'!$B$13+'Rate Card'!$B$14))</f>
        <v/>
      </c>
      <c r="F19" s="21">
        <f>C19/$A19</f>
        <v/>
      </c>
      <c r="G19" s="21">
        <f>D19/$A19</f>
        <v/>
      </c>
      <c r="H19" s="21">
        <f>E19/$A19</f>
        <v/>
      </c>
    </row>
    <row r="20">
      <c r="A20" s="18" t="n">
        <v>36</v>
      </c>
      <c r="B20" s="19">
        <f>ROUND($A20*'Rate Card'!$B$18,0)</f>
        <v/>
      </c>
      <c r="C20" s="21">
        <f>MAX('Rate Card'!$B$15,('Rate Card'!$D$6+$A20*'Rate Card'!$B$6+$B20*'Rate Card'!$C$6)*(1+'Rate Card'!$B$13+'Rate Card'!$B$14))</f>
        <v/>
      </c>
      <c r="D20" s="21">
        <f>MAX('Rate Card'!$B$15,('Rate Card'!$D$7+$A20*'Rate Card'!$B$7+$B20*'Rate Card'!$C$7)*(1+'Rate Card'!$B$13+'Rate Card'!$B$14))</f>
        <v/>
      </c>
      <c r="E20" s="21">
        <f>MAX('Rate Card'!$B$15,('Rate Card'!$D$8+$A20*'Rate Card'!$B$8+$B20*'Rate Card'!$C$8)*(1+'Rate Card'!$B$13+'Rate Card'!$B$14))</f>
        <v/>
      </c>
      <c r="F20" s="21">
        <f>C20/$A20</f>
        <v/>
      </c>
      <c r="G20" s="21">
        <f>D20/$A20</f>
        <v/>
      </c>
      <c r="H20" s="21">
        <f>E20/$A20</f>
        <v/>
      </c>
    </row>
    <row r="21">
      <c r="A21" s="18" t="n">
        <v>38</v>
      </c>
      <c r="B21" s="19">
        <f>ROUND($A21*'Rate Card'!$B$18,0)</f>
        <v/>
      </c>
      <c r="C21" s="21">
        <f>MAX('Rate Card'!$B$15,('Rate Card'!$D$6+$A21*'Rate Card'!$B$6+$B21*'Rate Card'!$C$6)*(1+'Rate Card'!$B$13+'Rate Card'!$B$14))</f>
        <v/>
      </c>
      <c r="D21" s="21">
        <f>MAX('Rate Card'!$B$15,('Rate Card'!$D$7+$A21*'Rate Card'!$B$7+$B21*'Rate Card'!$C$7)*(1+'Rate Card'!$B$13+'Rate Card'!$B$14))</f>
        <v/>
      </c>
      <c r="E21" s="21">
        <f>MAX('Rate Card'!$B$15,('Rate Card'!$D$8+$A21*'Rate Card'!$B$8+$B21*'Rate Card'!$C$8)*(1+'Rate Card'!$B$13+'Rate Card'!$B$14))</f>
        <v/>
      </c>
      <c r="F21" s="21">
        <f>C21/$A21</f>
        <v/>
      </c>
      <c r="G21" s="21">
        <f>D21/$A21</f>
        <v/>
      </c>
      <c r="H21" s="21">
        <f>E21/$A21</f>
        <v/>
      </c>
    </row>
    <row r="22">
      <c r="A22" s="18" t="n">
        <v>40</v>
      </c>
      <c r="B22" s="19">
        <f>ROUND($A22*'Rate Card'!$B$18,0)</f>
        <v/>
      </c>
      <c r="C22" s="21">
        <f>MAX('Rate Card'!$B$15,('Rate Card'!$D$6+$A22*'Rate Card'!$B$6+$B22*'Rate Card'!$C$6)*(1+'Rate Card'!$B$13+'Rate Card'!$B$14))</f>
        <v/>
      </c>
      <c r="D22" s="21">
        <f>MAX('Rate Card'!$B$15,('Rate Card'!$D$7+$A22*'Rate Card'!$B$7+$B22*'Rate Card'!$C$7)*(1+'Rate Card'!$B$13+'Rate Card'!$B$14))</f>
        <v/>
      </c>
      <c r="E22" s="21">
        <f>MAX('Rate Card'!$B$15,('Rate Card'!$D$8+$A22*'Rate Card'!$B$8+$B22*'Rate Card'!$C$8)*(1+'Rate Card'!$B$13+'Rate Card'!$B$14))</f>
        <v/>
      </c>
      <c r="F22" s="21">
        <f>C22/$A22</f>
        <v/>
      </c>
      <c r="G22" s="21">
        <f>D22/$A22</f>
        <v/>
      </c>
      <c r="H22" s="21">
        <f>E22/$A22</f>
        <v/>
      </c>
    </row>
    <row r="23">
      <c r="A23" s="18" t="n">
        <v>42</v>
      </c>
      <c r="B23" s="19">
        <f>ROUND($A23*'Rate Card'!$B$18,0)</f>
        <v/>
      </c>
      <c r="C23" s="21">
        <f>MAX('Rate Card'!$B$15,('Rate Card'!$D$6+$A23*'Rate Card'!$B$6+$B23*'Rate Card'!$C$6)*(1+'Rate Card'!$B$13+'Rate Card'!$B$14))</f>
        <v/>
      </c>
      <c r="D23" s="21">
        <f>MAX('Rate Card'!$B$15,('Rate Card'!$D$7+$A23*'Rate Card'!$B$7+$B23*'Rate Card'!$C$7)*(1+'Rate Card'!$B$13+'Rate Card'!$B$14))</f>
        <v/>
      </c>
      <c r="E23" s="21">
        <f>MAX('Rate Card'!$B$15,('Rate Card'!$D$8+$A23*'Rate Card'!$B$8+$B23*'Rate Card'!$C$8)*(1+'Rate Card'!$B$13+'Rate Card'!$B$14))</f>
        <v/>
      </c>
      <c r="F23" s="21">
        <f>C23/$A23</f>
        <v/>
      </c>
      <c r="G23" s="21">
        <f>D23/$A23</f>
        <v/>
      </c>
      <c r="H23" s="21">
        <f>E23/$A23</f>
        <v/>
      </c>
    </row>
    <row r="24">
      <c r="A24" s="18" t="n">
        <v>44</v>
      </c>
      <c r="B24" s="19">
        <f>ROUND($A24*'Rate Card'!$B$18,0)</f>
        <v/>
      </c>
      <c r="C24" s="21">
        <f>MAX('Rate Card'!$B$15,('Rate Card'!$D$6+$A24*'Rate Card'!$B$6+$B24*'Rate Card'!$C$6)*(1+'Rate Card'!$B$13+'Rate Card'!$B$14))</f>
        <v/>
      </c>
      <c r="D24" s="21">
        <f>MAX('Rate Card'!$B$15,('Rate Card'!$D$7+$A24*'Rate Card'!$B$7+$B24*'Rate Card'!$C$7)*(1+'Rate Card'!$B$13+'Rate Card'!$B$14))</f>
        <v/>
      </c>
      <c r="E24" s="21">
        <f>MAX('Rate Card'!$B$15,('Rate Card'!$D$8+$A24*'Rate Card'!$B$8+$B24*'Rate Card'!$C$8)*(1+'Rate Card'!$B$13+'Rate Card'!$B$14))</f>
        <v/>
      </c>
      <c r="F24" s="21">
        <f>C24/$A24</f>
        <v/>
      </c>
      <c r="G24" s="21">
        <f>D24/$A24</f>
        <v/>
      </c>
      <c r="H24" s="21">
        <f>E24/$A24</f>
        <v/>
      </c>
    </row>
    <row r="25">
      <c r="A25" s="18" t="n">
        <v>46</v>
      </c>
      <c r="B25" s="19">
        <f>ROUND($A25*'Rate Card'!$B$18,0)</f>
        <v/>
      </c>
      <c r="C25" s="21">
        <f>MAX('Rate Card'!$B$15,('Rate Card'!$D$6+$A25*'Rate Card'!$B$6+$B25*'Rate Card'!$C$6)*(1+'Rate Card'!$B$13+'Rate Card'!$B$14))</f>
        <v/>
      </c>
      <c r="D25" s="21">
        <f>MAX('Rate Card'!$B$15,('Rate Card'!$D$7+$A25*'Rate Card'!$B$7+$B25*'Rate Card'!$C$7)*(1+'Rate Card'!$B$13+'Rate Card'!$B$14))</f>
        <v/>
      </c>
      <c r="E25" s="21">
        <f>MAX('Rate Card'!$B$15,('Rate Card'!$D$8+$A25*'Rate Card'!$B$8+$B25*'Rate Card'!$C$8)*(1+'Rate Card'!$B$13+'Rate Card'!$B$14))</f>
        <v/>
      </c>
      <c r="F25" s="21">
        <f>C25/$A25</f>
        <v/>
      </c>
      <c r="G25" s="21">
        <f>D25/$A25</f>
        <v/>
      </c>
      <c r="H25" s="21">
        <f>E25/$A25</f>
        <v/>
      </c>
    </row>
    <row r="26">
      <c r="A26" s="18" t="n">
        <v>48</v>
      </c>
      <c r="B26" s="19">
        <f>ROUND($A26*'Rate Card'!$B$18,0)</f>
        <v/>
      </c>
      <c r="C26" s="21">
        <f>MAX('Rate Card'!$B$15,('Rate Card'!$D$6+$A26*'Rate Card'!$B$6+$B26*'Rate Card'!$C$6)*(1+'Rate Card'!$B$13+'Rate Card'!$B$14))</f>
        <v/>
      </c>
      <c r="D26" s="21">
        <f>MAX('Rate Card'!$B$15,('Rate Card'!$D$7+$A26*'Rate Card'!$B$7+$B26*'Rate Card'!$C$7)*(1+'Rate Card'!$B$13+'Rate Card'!$B$14))</f>
        <v/>
      </c>
      <c r="E26" s="21">
        <f>MAX('Rate Card'!$B$15,('Rate Card'!$D$8+$A26*'Rate Card'!$B$8+$B26*'Rate Card'!$C$8)*(1+'Rate Card'!$B$13+'Rate Card'!$B$14))</f>
        <v/>
      </c>
      <c r="F26" s="21">
        <f>C26/$A26</f>
        <v/>
      </c>
      <c r="G26" s="21">
        <f>D26/$A26</f>
        <v/>
      </c>
      <c r="H26" s="21">
        <f>E26/$A26</f>
        <v/>
      </c>
    </row>
    <row r="27">
      <c r="A27" s="18" t="n">
        <v>50</v>
      </c>
      <c r="B27" s="19">
        <f>ROUND($A27*'Rate Card'!$B$18,0)</f>
        <v/>
      </c>
      <c r="C27" s="21">
        <f>MAX('Rate Card'!$B$15,('Rate Card'!$D$6+$A27*'Rate Card'!$B$6+$B27*'Rate Card'!$C$6)*(1+'Rate Card'!$B$13+'Rate Card'!$B$14))</f>
        <v/>
      </c>
      <c r="D27" s="21">
        <f>MAX('Rate Card'!$B$15,('Rate Card'!$D$7+$A27*'Rate Card'!$B$7+$B27*'Rate Card'!$C$7)*(1+'Rate Card'!$B$13+'Rate Card'!$B$14))</f>
        <v/>
      </c>
      <c r="E27" s="21">
        <f>MAX('Rate Card'!$B$15,('Rate Card'!$D$8+$A27*'Rate Card'!$B$8+$B27*'Rate Card'!$C$8)*(1+'Rate Card'!$B$13+'Rate Card'!$B$14))</f>
        <v/>
      </c>
      <c r="F27" s="21">
        <f>C27/$A27</f>
        <v/>
      </c>
      <c r="G27" s="21">
        <f>D27/$A27</f>
        <v/>
      </c>
      <c r="H27" s="21">
        <f>E27/$A27</f>
        <v/>
      </c>
    </row>
    <row r="28">
      <c r="A28" s="18" t="n">
        <v>52</v>
      </c>
      <c r="B28" s="19">
        <f>ROUND($A28*'Rate Card'!$B$18,0)</f>
        <v/>
      </c>
      <c r="C28" s="21">
        <f>MAX('Rate Card'!$B$15,('Rate Card'!$D$6+$A28*'Rate Card'!$B$6+$B28*'Rate Card'!$C$6)*(1+'Rate Card'!$B$13+'Rate Card'!$B$14))</f>
        <v/>
      </c>
      <c r="D28" s="21">
        <f>MAX('Rate Card'!$B$15,('Rate Card'!$D$7+$A28*'Rate Card'!$B$7+$B28*'Rate Card'!$C$7)*(1+'Rate Card'!$B$13+'Rate Card'!$B$14))</f>
        <v/>
      </c>
      <c r="E28" s="21">
        <f>MAX('Rate Card'!$B$15,('Rate Card'!$D$8+$A28*'Rate Card'!$B$8+$B28*'Rate Card'!$C$8)*(1+'Rate Card'!$B$13+'Rate Card'!$B$14))</f>
        <v/>
      </c>
      <c r="F28" s="21">
        <f>C28/$A28</f>
        <v/>
      </c>
      <c r="G28" s="21">
        <f>D28/$A28</f>
        <v/>
      </c>
      <c r="H28" s="21">
        <f>E28/$A28</f>
        <v/>
      </c>
    </row>
    <row r="29">
      <c r="A29" s="18" t="n">
        <v>54</v>
      </c>
      <c r="B29" s="19">
        <f>ROUND($A29*'Rate Card'!$B$18,0)</f>
        <v/>
      </c>
      <c r="C29" s="21">
        <f>MAX('Rate Card'!$B$15,('Rate Card'!$D$6+$A29*'Rate Card'!$B$6+$B29*'Rate Card'!$C$6)*(1+'Rate Card'!$B$13+'Rate Card'!$B$14))</f>
        <v/>
      </c>
      <c r="D29" s="21">
        <f>MAX('Rate Card'!$B$15,('Rate Card'!$D$7+$A29*'Rate Card'!$B$7+$B29*'Rate Card'!$C$7)*(1+'Rate Card'!$B$13+'Rate Card'!$B$14))</f>
        <v/>
      </c>
      <c r="E29" s="21">
        <f>MAX('Rate Card'!$B$15,('Rate Card'!$D$8+$A29*'Rate Card'!$B$8+$B29*'Rate Card'!$C$8)*(1+'Rate Card'!$B$13+'Rate Card'!$B$14))</f>
        <v/>
      </c>
      <c r="F29" s="21">
        <f>C29/$A29</f>
        <v/>
      </c>
      <c r="G29" s="21">
        <f>D29/$A29</f>
        <v/>
      </c>
      <c r="H29" s="21">
        <f>E29/$A29</f>
        <v/>
      </c>
    </row>
    <row r="30">
      <c r="A30" s="18" t="n">
        <v>56</v>
      </c>
      <c r="B30" s="19">
        <f>ROUND($A30*'Rate Card'!$B$18,0)</f>
        <v/>
      </c>
      <c r="C30" s="21">
        <f>MAX('Rate Card'!$B$15,('Rate Card'!$D$6+$A30*'Rate Card'!$B$6+$B30*'Rate Card'!$C$6)*(1+'Rate Card'!$B$13+'Rate Card'!$B$14))</f>
        <v/>
      </c>
      <c r="D30" s="21">
        <f>MAX('Rate Card'!$B$15,('Rate Card'!$D$7+$A30*'Rate Card'!$B$7+$B30*'Rate Card'!$C$7)*(1+'Rate Card'!$B$13+'Rate Card'!$B$14))</f>
        <v/>
      </c>
      <c r="E30" s="21">
        <f>MAX('Rate Card'!$B$15,('Rate Card'!$D$8+$A30*'Rate Card'!$B$8+$B30*'Rate Card'!$C$8)*(1+'Rate Card'!$B$13+'Rate Card'!$B$14))</f>
        <v/>
      </c>
      <c r="F30" s="21">
        <f>C30/$A30</f>
        <v/>
      </c>
      <c r="G30" s="21">
        <f>D30/$A30</f>
        <v/>
      </c>
      <c r="H30" s="21">
        <f>E30/$A30</f>
        <v/>
      </c>
    </row>
    <row r="31">
      <c r="A31" s="18" t="n">
        <v>58</v>
      </c>
      <c r="B31" s="19">
        <f>ROUND($A31*'Rate Card'!$B$18,0)</f>
        <v/>
      </c>
      <c r="C31" s="21">
        <f>MAX('Rate Card'!$B$15,('Rate Card'!$D$6+$A31*'Rate Card'!$B$6+$B31*'Rate Card'!$C$6)*(1+'Rate Card'!$B$13+'Rate Card'!$B$14))</f>
        <v/>
      </c>
      <c r="D31" s="21">
        <f>MAX('Rate Card'!$B$15,('Rate Card'!$D$7+$A31*'Rate Card'!$B$7+$B31*'Rate Card'!$C$7)*(1+'Rate Card'!$B$13+'Rate Card'!$B$14))</f>
        <v/>
      </c>
      <c r="E31" s="21">
        <f>MAX('Rate Card'!$B$15,('Rate Card'!$D$8+$A31*'Rate Card'!$B$8+$B31*'Rate Card'!$C$8)*(1+'Rate Card'!$B$13+'Rate Card'!$B$14))</f>
        <v/>
      </c>
      <c r="F31" s="21">
        <f>C31/$A31</f>
        <v/>
      </c>
      <c r="G31" s="21">
        <f>D31/$A31</f>
        <v/>
      </c>
      <c r="H31" s="21">
        <f>E31/$A31</f>
        <v/>
      </c>
    </row>
    <row r="32">
      <c r="A32" s="18" t="n">
        <v>60</v>
      </c>
      <c r="B32" s="19">
        <f>ROUND($A32*'Rate Card'!$B$18,0)</f>
        <v/>
      </c>
      <c r="C32" s="21">
        <f>MAX('Rate Card'!$B$15,('Rate Card'!$D$6+$A32*'Rate Card'!$B$6+$B32*'Rate Card'!$C$6)*(1+'Rate Card'!$B$13+'Rate Card'!$B$14))</f>
        <v/>
      </c>
      <c r="D32" s="21">
        <f>MAX('Rate Card'!$B$15,('Rate Card'!$D$7+$A32*'Rate Card'!$B$7+$B32*'Rate Card'!$C$7)*(1+'Rate Card'!$B$13+'Rate Card'!$B$14))</f>
        <v/>
      </c>
      <c r="E32" s="21">
        <f>MAX('Rate Card'!$B$15,('Rate Card'!$D$8+$A32*'Rate Card'!$B$8+$B32*'Rate Card'!$C$8)*(1+'Rate Card'!$B$13+'Rate Card'!$B$14))</f>
        <v/>
      </c>
      <c r="F32" s="21">
        <f>C32/$A32</f>
        <v/>
      </c>
      <c r="G32" s="21">
        <f>D32/$A32</f>
        <v/>
      </c>
      <c r="H32" s="21">
        <f>E32/$A32</f>
        <v/>
      </c>
    </row>
    <row r="34">
      <c r="A34" s="4" t="inlineStr">
        <is>
          <t>Shaded = the $2,500 minimum set the price. Below those door counts, quote $2,500 and trade the customer up with hardware, rollouts or lighting.</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44" customWidth="1" min="1" max="1"/>
    <col width="10" customWidth="1" min="2" max="2"/>
    <col width="16" customWidth="1" min="3" max="3"/>
    <col width="16" customWidth="1" min="4" max="4"/>
    <col width="60" customWidth="1" min="5" max="5"/>
  </cols>
  <sheetData>
    <row r="1" ht="24" customHeight="1">
      <c r="A1" s="1" t="inlineStr">
        <is>
          <t>TUNE-UP QUICK QUOTE — fill in the yellow cells only</t>
        </is>
      </c>
    </row>
    <row r="3">
      <c r="A3" s="4" t="inlineStr">
        <is>
          <t>Blue text = you type it. Black = calculated. Green = pulled from the Rate Card.</t>
        </is>
      </c>
    </row>
    <row r="5">
      <c r="A5" s="10" t="inlineStr">
        <is>
          <t>JOB INFO</t>
        </is>
      </c>
    </row>
    <row r="6">
      <c r="A6" s="11" t="inlineStr">
        <is>
          <t>Customer</t>
        </is>
      </c>
      <c r="B6" s="22" t="inlineStr">
        <is>
          <t>Example: Smith, 14 Maple Ave</t>
        </is>
      </c>
    </row>
    <row r="7">
      <c r="A7" s="11" t="inlineStr">
        <is>
          <t>Date</t>
        </is>
      </c>
      <c r="B7" s="22" t="inlineStr">
        <is>
          <t>2026-08-18</t>
        </is>
      </c>
    </row>
    <row r="8">
      <c r="A8" s="11" t="inlineStr">
        <is>
          <t>Sales rep</t>
        </is>
      </c>
      <c r="B8" s="22" t="inlineStr">
        <is>
          <t>Example: Ben</t>
        </is>
      </c>
    </row>
    <row r="10">
      <c r="A10" s="10" t="inlineStr">
        <is>
          <t>SCOPE</t>
        </is>
      </c>
    </row>
    <row r="11">
      <c r="A11" s="11" t="inlineStr">
        <is>
          <t>Tier</t>
        </is>
      </c>
      <c r="B11" s="22" t="inlineStr">
        <is>
          <t>Tier 2 — Enhanced</t>
        </is>
      </c>
      <c r="C11" s="4" t="inlineStr">
        <is>
          <t>← pick from the dropdown</t>
        </is>
      </c>
    </row>
    <row r="12">
      <c r="A12" s="11" t="inlineStr">
        <is>
          <t>Door count</t>
        </is>
      </c>
      <c r="B12" s="9" t="n">
        <v>28</v>
      </c>
      <c r="C12" s="4" t="inlineStr">
        <is>
          <t>Every hinged door, including pantry and appliance-panel doors.</t>
        </is>
      </c>
    </row>
    <row r="13">
      <c r="A13" s="11" t="inlineStr">
        <is>
          <t>Drawer front count</t>
        </is>
      </c>
      <c r="B13" s="9" t="n">
        <v>12</v>
      </c>
      <c r="C13" s="4" t="inlineStr">
        <is>
          <t>Every drawer front and false front.</t>
        </is>
      </c>
    </row>
    <row r="15">
      <c r="A15" s="10" t="inlineStr">
        <is>
          <t>TUNE-UP WORK</t>
        </is>
      </c>
    </row>
    <row r="16">
      <c r="A16" s="5" t="inlineStr">
        <is>
          <t>Line</t>
        </is>
      </c>
      <c r="B16" s="5" t="inlineStr">
        <is>
          <t>Qty</t>
        </is>
      </c>
      <c r="C16" s="5" t="inlineStr">
        <is>
          <t>Rate</t>
        </is>
      </c>
      <c r="D16" s="5" t="inlineStr">
        <is>
          <t>Amount</t>
        </is>
      </c>
    </row>
    <row r="17">
      <c r="A17" s="16" t="inlineStr">
        <is>
          <t>Job base (measure, set-up, masking, clean-up)</t>
        </is>
      </c>
      <c r="B17" s="18" t="n">
        <v>1</v>
      </c>
      <c r="C17" s="23">
        <f>INDEX('Rate Card'!$D$6:$D$8,MATCH($B$11,'Rate Card'!$A$6:$A$8,0))</f>
        <v/>
      </c>
      <c r="D17" s="21">
        <f>B17*C17</f>
        <v/>
      </c>
    </row>
    <row r="18">
      <c r="A18" s="16" t="inlineStr">
        <is>
          <t>Doors</t>
        </is>
      </c>
      <c r="B18" s="19">
        <f>$B$12</f>
        <v/>
      </c>
      <c r="C18" s="23">
        <f>INDEX('Rate Card'!$B$6:$B$8,MATCH($B$11,'Rate Card'!$A$6:$A$8,0))</f>
        <v/>
      </c>
      <c r="D18" s="21">
        <f>B18*C18</f>
        <v/>
      </c>
    </row>
    <row r="19">
      <c r="A19" s="16" t="inlineStr">
        <is>
          <t>Drawer fronts</t>
        </is>
      </c>
      <c r="B19" s="19">
        <f>$B$13</f>
        <v/>
      </c>
      <c r="C19" s="23">
        <f>INDEX('Rate Card'!$C$6:$C$8,MATCH($B$11,'Rate Card'!$A$6:$A$8,0))</f>
        <v/>
      </c>
      <c r="D19" s="21">
        <f>B19*C19</f>
        <v/>
      </c>
    </row>
    <row r="20">
      <c r="A20" s="11" t="inlineStr">
        <is>
          <t>Tune-Up subtotal</t>
        </is>
      </c>
      <c r="D20" s="24">
        <f>SUM(D17:D19)</f>
        <v/>
      </c>
    </row>
    <row r="22">
      <c r="A22" s="10" t="inlineStr">
        <is>
          <t>ADD-ONS — enter a quantity for anything the job includes</t>
        </is>
      </c>
    </row>
    <row r="23">
      <c r="A23" s="5" t="inlineStr">
        <is>
          <t>Add-On</t>
        </is>
      </c>
      <c r="B23" s="5" t="inlineStr">
        <is>
          <t>Qty</t>
        </is>
      </c>
      <c r="C23" s="5" t="inlineStr">
        <is>
          <t>Unit</t>
        </is>
      </c>
      <c r="D23" s="5" t="inlineStr">
        <is>
          <t>Rate</t>
        </is>
      </c>
      <c r="E23" s="5" t="inlineStr">
        <is>
          <t>Amount</t>
        </is>
      </c>
    </row>
    <row r="24">
      <c r="A24" s="25">
        <f>'Rate Card'!A28</f>
        <v/>
      </c>
      <c r="B24" s="26" t="n">
        <v>0</v>
      </c>
      <c r="C24" s="25">
        <f>'Rate Card'!B28</f>
        <v/>
      </c>
      <c r="D24" s="23">
        <f>'Rate Card'!C28</f>
        <v/>
      </c>
      <c r="E24" s="21">
        <f>B24*D24</f>
        <v/>
      </c>
    </row>
    <row r="25">
      <c r="A25" s="25">
        <f>'Rate Card'!A29</f>
        <v/>
      </c>
      <c r="B25" s="26" t="n">
        <v>0</v>
      </c>
      <c r="C25" s="25">
        <f>'Rate Card'!B29</f>
        <v/>
      </c>
      <c r="D25" s="23">
        <f>'Rate Card'!C29</f>
        <v/>
      </c>
      <c r="E25" s="21">
        <f>B25*D25</f>
        <v/>
      </c>
    </row>
    <row r="26">
      <c r="A26" s="25">
        <f>'Rate Card'!A30</f>
        <v/>
      </c>
      <c r="B26" s="26" t="n">
        <v>0</v>
      </c>
      <c r="C26" s="25">
        <f>'Rate Card'!B30</f>
        <v/>
      </c>
      <c r="D26" s="23">
        <f>'Rate Card'!C30</f>
        <v/>
      </c>
      <c r="E26" s="21">
        <f>B26*D26</f>
        <v/>
      </c>
    </row>
    <row r="27">
      <c r="A27" s="25">
        <f>'Rate Card'!A31</f>
        <v/>
      </c>
      <c r="B27" s="26" t="n">
        <v>0</v>
      </c>
      <c r="C27" s="25">
        <f>'Rate Card'!B31</f>
        <v/>
      </c>
      <c r="D27" s="23">
        <f>'Rate Card'!C31</f>
        <v/>
      </c>
      <c r="E27" s="21">
        <f>B27*D27</f>
        <v/>
      </c>
    </row>
    <row r="28">
      <c r="A28" s="25">
        <f>'Rate Card'!A32</f>
        <v/>
      </c>
      <c r="B28" s="26" t="n">
        <v>0</v>
      </c>
      <c r="C28" s="25">
        <f>'Rate Card'!B32</f>
        <v/>
      </c>
      <c r="D28" s="23">
        <f>'Rate Card'!C32</f>
        <v/>
      </c>
      <c r="E28" s="21">
        <f>B28*D28</f>
        <v/>
      </c>
    </row>
    <row r="29">
      <c r="A29" s="25">
        <f>'Rate Card'!A33</f>
        <v/>
      </c>
      <c r="B29" s="26" t="n">
        <v>0</v>
      </c>
      <c r="C29" s="25">
        <f>'Rate Card'!B33</f>
        <v/>
      </c>
      <c r="D29" s="23">
        <f>'Rate Card'!C33</f>
        <v/>
      </c>
      <c r="E29" s="21">
        <f>B29*D29</f>
        <v/>
      </c>
    </row>
    <row r="30">
      <c r="A30" s="25">
        <f>'Rate Card'!A34</f>
        <v/>
      </c>
      <c r="B30" s="26" t="n">
        <v>0</v>
      </c>
      <c r="C30" s="25">
        <f>'Rate Card'!B34</f>
        <v/>
      </c>
      <c r="D30" s="23">
        <f>'Rate Card'!C34</f>
        <v/>
      </c>
      <c r="E30" s="21">
        <f>B30*D30</f>
        <v/>
      </c>
    </row>
    <row r="31">
      <c r="A31" s="25">
        <f>'Rate Card'!A35</f>
        <v/>
      </c>
      <c r="B31" s="26" t="n">
        <v>0</v>
      </c>
      <c r="C31" s="25">
        <f>'Rate Card'!B35</f>
        <v/>
      </c>
      <c r="D31" s="23">
        <f>'Rate Card'!C35</f>
        <v/>
      </c>
      <c r="E31" s="21">
        <f>B31*D31</f>
        <v/>
      </c>
    </row>
    <row r="32">
      <c r="A32" s="25">
        <f>'Rate Card'!A36</f>
        <v/>
      </c>
      <c r="B32" s="26" t="n">
        <v>0</v>
      </c>
      <c r="C32" s="25">
        <f>'Rate Card'!B36</f>
        <v/>
      </c>
      <c r="D32" s="23">
        <f>'Rate Card'!C36</f>
        <v/>
      </c>
      <c r="E32" s="21">
        <f>B32*D32</f>
        <v/>
      </c>
    </row>
    <row r="33">
      <c r="A33" s="25">
        <f>'Rate Card'!A37</f>
        <v/>
      </c>
      <c r="B33" s="26" t="n">
        <v>0</v>
      </c>
      <c r="C33" s="25">
        <f>'Rate Card'!B37</f>
        <v/>
      </c>
      <c r="D33" s="23">
        <f>'Rate Card'!C37</f>
        <v/>
      </c>
      <c r="E33" s="21">
        <f>B33*D33</f>
        <v/>
      </c>
    </row>
    <row r="34">
      <c r="A34" s="25">
        <f>'Rate Card'!A38</f>
        <v/>
      </c>
      <c r="B34" s="26" t="n">
        <v>0</v>
      </c>
      <c r="C34" s="25">
        <f>'Rate Card'!B38</f>
        <v/>
      </c>
      <c r="D34" s="23">
        <f>'Rate Card'!C38</f>
        <v/>
      </c>
      <c r="E34" s="21">
        <f>B34*D34</f>
        <v/>
      </c>
    </row>
    <row r="35">
      <c r="A35" s="25">
        <f>'Rate Card'!A39</f>
        <v/>
      </c>
      <c r="B35" s="26" t="n">
        <v>0</v>
      </c>
      <c r="C35" s="25">
        <f>'Rate Card'!B39</f>
        <v/>
      </c>
      <c r="D35" s="23">
        <f>'Rate Card'!C39</f>
        <v/>
      </c>
      <c r="E35" s="21">
        <f>B35*D35</f>
        <v/>
      </c>
    </row>
    <row r="36">
      <c r="A36" s="25">
        <f>'Rate Card'!A40</f>
        <v/>
      </c>
      <c r="B36" s="26" t="n">
        <v>0</v>
      </c>
      <c r="C36" s="25">
        <f>'Rate Card'!B40</f>
        <v/>
      </c>
      <c r="D36" s="23">
        <f>'Rate Card'!C40</f>
        <v/>
      </c>
      <c r="E36" s="21">
        <f>B36*D36</f>
        <v/>
      </c>
    </row>
    <row r="37">
      <c r="A37" s="25">
        <f>'Rate Card'!A41</f>
        <v/>
      </c>
      <c r="B37" s="26" t="n">
        <v>0</v>
      </c>
      <c r="C37" s="25">
        <f>'Rate Card'!B41</f>
        <v/>
      </c>
      <c r="D37" s="23">
        <f>'Rate Card'!C41</f>
        <v/>
      </c>
      <c r="E37" s="21">
        <f>B37*D37</f>
        <v/>
      </c>
    </row>
    <row r="38">
      <c r="A38" s="25">
        <f>'Rate Card'!A42</f>
        <v/>
      </c>
      <c r="B38" s="26" t="n">
        <v>0</v>
      </c>
      <c r="C38" s="25">
        <f>'Rate Card'!B42</f>
        <v/>
      </c>
      <c r="D38" s="23">
        <f>'Rate Card'!C42</f>
        <v/>
      </c>
      <c r="E38" s="21">
        <f>B38*D38</f>
        <v/>
      </c>
    </row>
    <row r="39">
      <c r="A39" s="11" t="inlineStr">
        <is>
          <t>Add-ons subtotal</t>
        </is>
      </c>
      <c r="E39" s="24">
        <f>SUM(E24:E38)</f>
        <v/>
      </c>
    </row>
    <row r="41">
      <c r="A41" s="10" t="inlineStr">
        <is>
          <t>PRICE BUILD-UP</t>
        </is>
      </c>
    </row>
    <row r="42">
      <c r="A42" s="27" t="inlineStr">
        <is>
          <t>Line-item subtotal</t>
        </is>
      </c>
      <c r="D42" s="21">
        <f>$D$20+$E$39</f>
        <v/>
      </c>
    </row>
    <row r="43">
      <c r="A43" s="27" t="inlineStr">
        <is>
          <t>Shop Labor</t>
        </is>
      </c>
      <c r="D43" s="21">
        <f>D42*'Rate Card'!$B$13</f>
        <v/>
      </c>
    </row>
    <row r="44">
      <c r="A44" s="27" t="inlineStr">
        <is>
          <t>Shop Overhead</t>
        </is>
      </c>
      <c r="D44" s="21">
        <f>D42*'Rate Card'!$B$14</f>
        <v/>
      </c>
    </row>
    <row r="45">
      <c r="A45" s="11" t="inlineStr">
        <is>
          <t>Price before minimum</t>
        </is>
      </c>
      <c r="D45" s="28">
        <f>SUM(D42:D44)</f>
        <v/>
      </c>
    </row>
    <row r="46">
      <c r="A46" s="27" t="inlineStr">
        <is>
          <t>Job minimum</t>
        </is>
      </c>
      <c r="D46" s="23">
        <f>'Rate Card'!$B$15</f>
        <v/>
      </c>
    </row>
    <row r="47">
      <c r="A47" s="27" t="inlineStr">
        <is>
          <t>Discount (enter as a positive $)</t>
        </is>
      </c>
      <c r="D47" s="7" t="n">
        <v>0</v>
      </c>
    </row>
    <row r="48">
      <c r="A48" s="27" t="inlineStr">
        <is>
          <t>QUOTED PRICE</t>
        </is>
      </c>
      <c r="D48" s="29">
        <f>MAX(D45-D47,D46)</f>
        <v/>
      </c>
      <c r="E48" s="30">
        <f>IF($D$48&lt;=D46,"MINIMUM APPLIED — this job priced up to the $2,500 floor. Trade up: hardware, rollouts, lighting.","")</f>
        <v/>
      </c>
    </row>
    <row r="49">
      <c r="A49" s="27" t="inlineStr">
        <is>
          <t>Effective price per door</t>
        </is>
      </c>
      <c r="D49" s="21">
        <f>IFERROR(D48/$B$12,0)</f>
        <v/>
      </c>
    </row>
    <row r="50">
      <c r="A50" s="27" t="inlineStr">
        <is>
          <t>Deposit due at signing</t>
        </is>
      </c>
      <c r="D50" s="21">
        <f>D48*'Rate Card'!$B$16</f>
        <v/>
      </c>
    </row>
    <row r="51">
      <c r="A51" s="27" t="inlineStr">
        <is>
          <t>Balance</t>
        </is>
      </c>
      <c r="D51" s="21">
        <f>D48-D50</f>
        <v/>
      </c>
    </row>
    <row r="53">
      <c r="A53" s="31" t="inlineStr">
        <is>
          <t>MARGIN CHECK (internal — do not show the customer)</t>
        </is>
      </c>
    </row>
    <row r="54">
      <c r="A54" s="27" t="inlineStr">
        <is>
          <t>Estimated crew hours</t>
        </is>
      </c>
      <c r="D54" s="32">
        <f>INDEX('Rate Card'!$G$6:$G$8,MATCH($B$11,'Rate Card'!$A$6:$A$8,0))+$B$12*INDEX('Rate Card'!$E$6:$E$8,MATCH($B$11,'Rate Card'!$A$6:$A$8,0))+$B$13*INDEX('Rate Card'!$F$6:$F$8,MATCH($B$11,'Rate Card'!$A$6:$A$8,0))</f>
        <v/>
      </c>
    </row>
    <row r="55">
      <c r="A55" s="27" t="inlineStr">
        <is>
          <t>Crew rate ($/hr)</t>
        </is>
      </c>
      <c r="D55" s="21">
        <f>INDEX('Rate Card'!$H$6:$H$8,MATCH($B$11,'Rate Card'!$A$6:$A$8,0))</f>
        <v/>
      </c>
    </row>
    <row r="56">
      <c r="A56" s="27" t="inlineStr">
        <is>
          <t>Estimated direct labor cost</t>
        </is>
      </c>
      <c r="D56" s="21">
        <f>D54*D55</f>
        <v/>
      </c>
    </row>
    <row r="57">
      <c r="A57" s="27" t="inlineStr">
        <is>
          <t>Direct labor % of quoted price</t>
        </is>
      </c>
      <c r="D57" s="33">
        <f>IFERROR(D56/$D$48,0)</f>
        <v/>
      </c>
      <c r="E57" s="11">
        <f>IF(D57&gt;'Rate Card'!$B$17,"OVER the 20% labor ceiling — re-check hours or raise the price","Within the 20% labor ceiling")</f>
        <v/>
      </c>
    </row>
    <row r="59">
      <c r="A59" s="4" t="inlineStr">
        <is>
          <t>Hours are estimated from scope, not Construction Clock actuals. Materials and finish product are not in this check.</t>
        </is>
      </c>
    </row>
  </sheetData>
  <mergeCells count="1">
    <mergeCell ref="A1:F1"/>
  </mergeCells>
  <dataValidations count="1">
    <dataValidation sqref="B11" showDropDown="0" showInputMessage="0" showErrorMessage="0" allowBlank="0" type="list">
      <formula1>='Rate Card'!$A$6:$A$8</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2026-08-18T21:16:29Z</dcterms:created>
  <dcterms:modified xsi:type="dcterms:W3CDTF">2026-08-18T21:16:29Z</dcterms:modified>
</cp:coreProperties>
</file>