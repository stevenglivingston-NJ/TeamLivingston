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Pricing Works" sheetId="1" state="visible" r:id="rId1"/>
    <sheet name="Rate Card" sheetId="2" state="visible" r:id="rId2"/>
    <sheet name="Quick Quote" sheetId="3" state="visible" r:id="rId3"/>
    <sheet name="Price by Door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"/>
    <numFmt numFmtId="166" formatCode="0.##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sz val="10"/>
    </font>
    <font>
      <name val="Arial"/>
      <color rgb="00008000"/>
      <sz val="10"/>
    </font>
    <font>
      <name val="Arial"/>
      <b val="1"/>
      <sz val="12"/>
    </font>
    <font>
      <name val="Arial"/>
      <b val="1"/>
      <color rgb="00C00000"/>
      <sz val="10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3" borderId="1" pivotButton="0" quotePrefix="0" xfId="0"/>
    <xf numFmtId="2" fontId="5" fillId="3" borderId="1" pivotButton="0" quotePrefix="0" xfId="0"/>
    <xf numFmtId="1" fontId="5" fillId="3" borderId="1" pivotButton="0" quotePrefix="0" xfId="0"/>
    <xf numFmtId="0" fontId="6" fillId="0" borderId="0" pivotButton="0" quotePrefix="0" xfId="0"/>
    <xf numFmtId="0" fontId="4" fillId="0" borderId="0" pivotButton="0" quotePrefix="0" xfId="0"/>
    <xf numFmtId="165" fontId="5" fillId="3" borderId="1" pivotButton="0" quotePrefix="0" xfId="0"/>
    <xf numFmtId="0" fontId="7" fillId="0" borderId="1" pivotButton="0" quotePrefix="0" xfId="0"/>
    <xf numFmtId="0" fontId="2" fillId="0" borderId="1" pivotButton="0" quotePrefix="0" xfId="0"/>
    <xf numFmtId="0" fontId="5" fillId="3" borderId="1" pivotButton="0" quotePrefix="0" xfId="0"/>
    <xf numFmtId="1" fontId="5" fillId="0" borderId="1" pivotButton="0" quotePrefix="0" xfId="0"/>
    <xf numFmtId="164" fontId="8" fillId="0" borderId="1" pivotButton="0" quotePrefix="0" xfId="0"/>
    <xf numFmtId="164" fontId="7" fillId="0" borderId="1" pivotButton="0" quotePrefix="0" xfId="0"/>
    <xf numFmtId="1" fontId="7" fillId="0" borderId="1" pivotButton="0" quotePrefix="0" xfId="0"/>
    <xf numFmtId="164" fontId="4" fillId="4" borderId="0" pivotButton="0" quotePrefix="0" xfId="0"/>
    <xf numFmtId="0" fontId="8" fillId="0" borderId="1" pivotButton="0" quotePrefix="0" xfId="0"/>
    <xf numFmtId="166" fontId="5" fillId="3" borderId="1" pivotButton="0" quotePrefix="0" xfId="0"/>
    <xf numFmtId="0" fontId="7" fillId="0" borderId="0" pivotButton="0" quotePrefix="0" xfId="0"/>
    <xf numFmtId="164" fontId="4" fillId="0" borderId="1" pivotButton="0" quotePrefix="0" xfId="0"/>
    <xf numFmtId="164" fontId="9" fillId="5" borderId="1" pivotButton="0" quotePrefix="0" xfId="0"/>
    <xf numFmtId="0" fontId="10" fillId="0" borderId="0" pivotButton="0" quotePrefix="0" xfId="0"/>
    <xf numFmtId="0" fontId="6" fillId="6" borderId="0" pivotButton="0" quotePrefix="0" xfId="0"/>
    <xf numFmtId="167" fontId="7" fillId="0" borderId="1" pivotButton="0" quotePrefix="0" xfId="0"/>
    <xf numFmtId="165" fontId="7" fillId="0" borderId="1" pivotButton="0" quotePrefix="0" xfId="0"/>
    <xf numFmtId="0" fontId="1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HOW KTU TUNE-UP PRICING WORKS</t>
        </is>
      </c>
    </row>
    <row r="3">
      <c r="A3" s="2" t="inlineStr">
        <is>
          <t>The formula</t>
        </is>
      </c>
    </row>
    <row r="4" ht="30" customHeight="1">
      <c r="A4" s="3" t="inlineStr">
        <is>
          <t>Quoted price = ( Job base + Doors x Door rate + Drawer fronts x Drawer-front rate + Add-ons ) x 1.29, floored at the $2,500 job minimum.</t>
        </is>
      </c>
    </row>
    <row r="5" ht="30" customHeight="1">
      <c r="A5" s="3" t="inlineStr">
        <is>
          <t>The 1.29 is Shop Labor 24% + Shop Overhead 5%, which go on the proposal as their own two lines exactly as they do in ServiceMinder.</t>
        </is>
      </c>
    </row>
    <row r="7">
      <c r="A7" s="2" t="inlineStr">
        <is>
          <t>Why door count</t>
        </is>
      </c>
    </row>
    <row r="8" ht="30" customHeight="1">
      <c r="A8" s="3" t="inlineStr">
        <is>
          <t>On every tune-up service the cabinet boxes stay put, so the work — and the material — scales with the number of doors and drawer fronts, not with the square footage of the kitchen. Count the doors and the drawer fronts and the job prices itself.</t>
        </is>
      </c>
    </row>
    <row r="10">
      <c r="A10" s="2" t="inlineStr">
        <is>
          <t>The five services</t>
        </is>
      </c>
    </row>
    <row r="11" ht="30" customHeight="1">
      <c r="A11" s="3" t="inlineStr">
        <is>
          <t>Tune-Up / Reconditioning — restore the existing finish. 1-2 days. No color or style change; not for painted or laminate doors.</t>
        </is>
      </c>
    </row>
    <row r="12" ht="30" customHeight="1">
      <c r="A12" s="3" t="inlineStr">
        <is>
          <t>Cabinet Painting — doors and fronts sprayed off-site, boxes and face frames done on-site. About 5 days.</t>
        </is>
      </c>
    </row>
    <row r="13" ht="30" customHeight="1">
      <c r="A13" s="3" t="inlineStr">
        <is>
          <t>Redooring — new doors and drawer fronts, existing boxes and existing box finish stay. 1-2 days on site.</t>
        </is>
      </c>
    </row>
    <row r="14" ht="30" customHeight="1">
      <c r="A14" s="3" t="inlineStr">
        <is>
          <t>Refacing — new doors and drawer fronts plus matching veneer over the boxes. 2-4 days on site.</t>
        </is>
      </c>
    </row>
    <row r="15" ht="30" customHeight="1">
      <c r="A15" s="3" t="inlineStr">
        <is>
          <t>Reface Plus — refacing plus new panels, fillers and trim so the boxes read as new cabinetry.</t>
        </is>
      </c>
    </row>
    <row r="17">
      <c r="A17" s="2" t="inlineStr">
        <is>
          <t>The three levels</t>
        </is>
      </c>
    </row>
    <row r="18" ht="30" customHeight="1">
      <c r="A18" s="3" t="inlineStr">
        <is>
          <t>L1 Good — thermofoil or laminate doors, standard veneer.</t>
        </is>
      </c>
    </row>
    <row r="19" ht="30" customHeight="1">
      <c r="A19" s="3" t="inlineStr">
        <is>
          <t>L2 Better — painted MDF or wood shaker.</t>
        </is>
      </c>
    </row>
    <row r="20" ht="30" customHeight="1">
      <c r="A20" s="3" t="inlineStr">
        <is>
          <t>L3 Best — premium wood species, specialty color or finish.</t>
        </is>
      </c>
    </row>
    <row r="22">
      <c r="A22" s="2" t="inlineStr">
        <is>
          <t>The $2,500 job minimum</t>
        </is>
      </c>
    </row>
    <row r="23" ht="30" customHeight="1">
      <c r="A23" s="3" t="inlineStr">
        <is>
          <t>No job goes out below $2,500. Below that number the drive time, measure, order minimums and set-up eat the margin. If the math lands under $2,500 the Quick Quote tab prices the job up to $2,500 and flags it. Use it as a trade-up moment: at that size the customer can usually add hardware, rollouts or lighting and get real value for the same check.</t>
        </is>
      </c>
    </row>
    <row r="25">
      <c r="A25" s="2" t="inlineStr">
        <is>
          <t>Add-ons</t>
        </is>
      </c>
    </row>
    <row r="26" ht="30" customHeight="1">
      <c r="A26" s="3" t="inlineStr">
        <is>
          <t>Countertops, backsplash, flooring, hardware, crown, lighting, accessories, demo and paint all price separately, per the add-on catalog on the Rate Card tab. They ride through the same Shop Labor and Overhead math.</t>
        </is>
      </c>
    </row>
    <row r="28">
      <c r="A28" s="2" t="inlineStr">
        <is>
          <t>The margin guardrail</t>
        </is>
      </c>
    </row>
    <row r="29" ht="30" customHeight="1">
      <c r="A29" s="3" t="inlineStr">
        <is>
          <t>Each quote estimates crew hours from the scope and flags any job where direct labor runs over 20% of price. That 20% is the internal ceiling per service line. A flag is not a stop sign — it means re-check the hour estimate or raise the price before it is signed.</t>
        </is>
      </c>
    </row>
    <row r="31">
      <c r="A31" s="2" t="inlineStr">
        <is>
          <t>What the reps may change</t>
        </is>
      </c>
    </row>
    <row r="32" ht="30" customHeight="1">
      <c r="A32" s="3" t="inlineStr">
        <is>
          <t>Reps fill in the yellow cells on Quick Quote only: customer, scope, quantities, discount. Rates live on the Rate Card tab and are changed by the owner, so every rep quotes the same job the same way.</t>
        </is>
      </c>
    </row>
    <row r="34">
      <c r="A34" s="2" t="inlineStr">
        <is>
          <t>Where the numbers came from</t>
        </is>
      </c>
    </row>
    <row r="35" ht="30" customHeight="1">
      <c r="A35" s="3" t="inlineStr">
        <is>
          <t>Add-on rates are the KTU internal rate card (Drive: 02 Sales &amp; Pricing / KTU_Custom_Kitchen_Price_Adjustments, 2026-06-05). Shop Labor 24% and Shop Overhead 5% are the standing internal proposal structure. The 20% labor ceiling and the $65/hr reface crew rate are internal targets.</t>
        </is>
      </c>
    </row>
    <row r="36" ht="30" customHeight="1">
      <c r="A36" s="3" t="inlineStr">
        <is>
          <t>The per-door, per-drawer-front and job-base rates are ASSUMPTION defaults set on 2026-08-18 — no per-door price list existed in the Drive or in the repo. Confirm them against a few recent signed reface and redoor proposals before the rep quotes live work.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inlineStr">
        <is>
          <t>RATE CARD — edit the yellow cells to change every price in this workbook</t>
        </is>
      </c>
    </row>
    <row r="3">
      <c r="A3" s="4" t="inlineStr">
        <is>
          <t>Per-door / per-drawer-front rates. These are LINE-ITEM prices; Shop Labor and Shop Overhead are added on top (see Settings below).</t>
        </is>
      </c>
    </row>
    <row r="5">
      <c r="A5" s="5" t="inlineStr">
        <is>
          <t>Service</t>
        </is>
      </c>
      <c r="B5" s="5" t="inlineStr">
        <is>
          <t>Job Base</t>
        </is>
      </c>
      <c r="C5" s="5" t="inlineStr">
        <is>
          <t>L1 Door</t>
        </is>
      </c>
      <c r="D5" s="5" t="inlineStr">
        <is>
          <t>L1 Drawer Front</t>
        </is>
      </c>
      <c r="E5" s="5" t="inlineStr">
        <is>
          <t>L2 Door</t>
        </is>
      </c>
      <c r="F5" s="5" t="inlineStr">
        <is>
          <t>L2 Drawer Front</t>
        </is>
      </c>
      <c r="G5" s="5" t="inlineStr">
        <is>
          <t>L3 Door</t>
        </is>
      </c>
      <c r="H5" s="5" t="inlineStr">
        <is>
          <t>L3 Drawer Front</t>
        </is>
      </c>
      <c r="I5" s="5" t="inlineStr">
        <is>
          <t>Hrs / Door</t>
        </is>
      </c>
      <c r="J5" s="5" t="inlineStr">
        <is>
          <t>Hrs / Drawer Front</t>
        </is>
      </c>
      <c r="K5" s="5" t="inlineStr">
        <is>
          <t>Base Hrs</t>
        </is>
      </c>
      <c r="L5" s="5" t="inlineStr">
        <is>
          <t>Crew Rate $/hr</t>
        </is>
      </c>
    </row>
    <row r="6">
      <c r="A6" s="6" t="inlineStr">
        <is>
          <t>Tune-Up / Reconditioning</t>
        </is>
      </c>
      <c r="B6" s="7" t="n">
        <v>450</v>
      </c>
      <c r="C6" s="7" t="n">
        <v>45</v>
      </c>
      <c r="D6" s="7" t="n">
        <v>25</v>
      </c>
      <c r="E6" s="7" t="n">
        <v>60</v>
      </c>
      <c r="F6" s="7" t="n">
        <v>32</v>
      </c>
      <c r="G6" s="7" t="n">
        <v>75</v>
      </c>
      <c r="H6" s="7" t="n">
        <v>40</v>
      </c>
      <c r="I6" s="8" t="n">
        <v>0.35</v>
      </c>
      <c r="J6" s="8" t="n">
        <v>0.15</v>
      </c>
      <c r="K6" s="9" t="n">
        <v>4</v>
      </c>
      <c r="L6" s="7" t="n">
        <v>65</v>
      </c>
    </row>
    <row r="7">
      <c r="A7" s="6" t="inlineStr">
        <is>
          <t>Cabinet Painting</t>
        </is>
      </c>
      <c r="B7" s="7" t="n">
        <v>950</v>
      </c>
      <c r="C7" s="7" t="n">
        <v>135</v>
      </c>
      <c r="D7" s="7" t="n">
        <v>75</v>
      </c>
      <c r="E7" s="7" t="n">
        <v>160</v>
      </c>
      <c r="F7" s="7" t="n">
        <v>88</v>
      </c>
      <c r="G7" s="7" t="n">
        <v>190</v>
      </c>
      <c r="H7" s="7" t="n">
        <v>105</v>
      </c>
      <c r="I7" s="8" t="n">
        <v>0.8</v>
      </c>
      <c r="J7" s="8" t="n">
        <v>0.4</v>
      </c>
      <c r="K7" s="9" t="n">
        <v>8</v>
      </c>
      <c r="L7" s="7" t="n">
        <v>65</v>
      </c>
    </row>
    <row r="8">
      <c r="A8" s="6" t="inlineStr">
        <is>
          <t>Redooring</t>
        </is>
      </c>
      <c r="B8" s="7" t="n">
        <v>850</v>
      </c>
      <c r="C8" s="7" t="n">
        <v>185</v>
      </c>
      <c r="D8" s="7" t="n">
        <v>95</v>
      </c>
      <c r="E8" s="7" t="n">
        <v>225</v>
      </c>
      <c r="F8" s="7" t="n">
        <v>115</v>
      </c>
      <c r="G8" s="7" t="n">
        <v>275</v>
      </c>
      <c r="H8" s="7" t="n">
        <v>140</v>
      </c>
      <c r="I8" s="8" t="n">
        <v>0.45</v>
      </c>
      <c r="J8" s="8" t="n">
        <v>0.2</v>
      </c>
      <c r="K8" s="9" t="n">
        <v>6</v>
      </c>
      <c r="L8" s="7" t="n">
        <v>65</v>
      </c>
    </row>
    <row r="9">
      <c r="A9" s="6" t="inlineStr">
        <is>
          <t>Refacing</t>
        </is>
      </c>
      <c r="B9" s="7" t="n">
        <v>1200</v>
      </c>
      <c r="C9" s="7" t="n">
        <v>245</v>
      </c>
      <c r="D9" s="7" t="n">
        <v>125</v>
      </c>
      <c r="E9" s="7" t="n">
        <v>295</v>
      </c>
      <c r="F9" s="7" t="n">
        <v>150</v>
      </c>
      <c r="G9" s="7" t="n">
        <v>355</v>
      </c>
      <c r="H9" s="7" t="n">
        <v>180</v>
      </c>
      <c r="I9" s="8" t="n">
        <v>0.9</v>
      </c>
      <c r="J9" s="8" t="n">
        <v>0.4</v>
      </c>
      <c r="K9" s="9" t="n">
        <v>12</v>
      </c>
      <c r="L9" s="7" t="n">
        <v>65</v>
      </c>
    </row>
    <row r="10">
      <c r="A10" s="6" t="inlineStr">
        <is>
          <t>Reface Plus</t>
        </is>
      </c>
      <c r="B10" s="7" t="n">
        <v>1600</v>
      </c>
      <c r="C10" s="7" t="n">
        <v>295</v>
      </c>
      <c r="D10" s="7" t="n">
        <v>150</v>
      </c>
      <c r="E10" s="7" t="n">
        <v>350</v>
      </c>
      <c r="F10" s="7" t="n">
        <v>178</v>
      </c>
      <c r="G10" s="7" t="n">
        <v>415</v>
      </c>
      <c r="H10" s="7" t="n">
        <v>210</v>
      </c>
      <c r="I10" s="8" t="n">
        <v>1.1</v>
      </c>
      <c r="J10" s="8" t="n">
        <v>0.5</v>
      </c>
      <c r="K10" s="9" t="n">
        <v>16</v>
      </c>
      <c r="L10" s="7" t="n">
        <v>65</v>
      </c>
    </row>
    <row r="12">
      <c r="A12" s="4" t="inlineStr">
        <is>
          <t>Levels: L1 = Good (thermofoil / laminate doors, standard veneer). L2 = Better (painted MDF or wood shaker). L3 = Best (premium wood species, specialty color or finish).</t>
        </is>
      </c>
    </row>
    <row r="13">
      <c r="A13" s="4" t="inlineStr">
        <is>
          <t>Source: per-door, per-drawer-front, job-base and labor-hour figures are ASSUMPTION defaults set 2026-08-18 — no per-door price list existed in the Drive or the repo. Owner to confirm before field use.</t>
        </is>
      </c>
    </row>
    <row r="16">
      <c r="A16" s="10" t="inlineStr">
        <is>
          <t>SETTINGS</t>
        </is>
      </c>
    </row>
    <row r="17">
      <c r="A17" s="11" t="inlineStr">
        <is>
          <t>Shop Labor %</t>
        </is>
      </c>
      <c r="B17" s="12" t="n">
        <v>0.24</v>
      </c>
      <c r="C17" s="4" t="inlineStr">
        <is>
          <t>Internal — added as its own proposal line, same as ServiceMinder</t>
        </is>
      </c>
    </row>
    <row r="18">
      <c r="A18" s="11" t="inlineStr">
        <is>
          <t>Shop Overhead %</t>
        </is>
      </c>
      <c r="B18" s="12" t="n">
        <v>0.05</v>
      </c>
      <c r="C18" s="4" t="inlineStr">
        <is>
          <t>Internal — added as its own proposal line</t>
        </is>
      </c>
    </row>
    <row r="19">
      <c r="A19" s="11" t="inlineStr">
        <is>
          <t>Job minimum ($)</t>
        </is>
      </c>
      <c r="B19" s="7" t="n">
        <v>2500</v>
      </c>
      <c r="C19" s="4" t="inlineStr">
        <is>
          <t>Owner-set 2026-08-18: no job quotes below this</t>
        </is>
      </c>
    </row>
    <row r="20">
      <c r="A20" s="11" t="inlineStr">
        <is>
          <t>Deposit %</t>
        </is>
      </c>
      <c r="B20" s="12" t="n">
        <v>0.5</v>
      </c>
      <c r="C20" s="4" t="inlineStr">
        <is>
          <t>Collected at signing</t>
        </is>
      </c>
    </row>
    <row r="21">
      <c r="A21" s="11" t="inlineStr">
        <is>
          <t>Direct labor ceiling %</t>
        </is>
      </c>
      <c r="B21" s="12" t="n">
        <v>0.2</v>
      </c>
      <c r="C21" s="4" t="inlineStr">
        <is>
          <t>Internal target — flag any job above this</t>
        </is>
      </c>
    </row>
    <row r="22">
      <c r="A22" s="11" t="inlineStr">
        <is>
          <t>Drawer fronts per door (matrix est.)</t>
        </is>
      </c>
      <c r="B22" s="8" t="n">
        <v>0.45</v>
      </c>
      <c r="C22" s="4" t="inlineStr">
        <is>
          <t>Used only by the Price by Door Count tab</t>
        </is>
      </c>
    </row>
    <row r="25">
      <c r="A25" s="10" t="inlineStr">
        <is>
          <t>ADD-ON CATALOG</t>
        </is>
      </c>
    </row>
    <row r="26">
      <c r="A26" s="5" t="inlineStr">
        <is>
          <t>Add-On</t>
        </is>
      </c>
      <c r="B26" s="5" t="inlineStr">
        <is>
          <t>Unit</t>
        </is>
      </c>
      <c r="C26" s="5" t="inlineStr">
        <is>
          <t>Rate</t>
        </is>
      </c>
      <c r="D26" s="5" t="inlineStr">
        <is>
          <t>Source</t>
        </is>
      </c>
    </row>
    <row r="27">
      <c r="A27" s="13" t="inlineStr">
        <is>
          <t>New cabinet — custom/replacement</t>
        </is>
      </c>
      <c r="B27" s="13" t="inlineStr">
        <is>
          <t>per cabinet</t>
        </is>
      </c>
      <c r="C27" s="7" t="n">
        <v>1150</v>
      </c>
      <c r="D27" s="14" t="inlineStr">
        <is>
          <t>KTU internal rate card (Drive: 02 Sales &amp; Pricing, KTU_Custom_Kitchen_Price_Adjustments, 2026-06-05)</t>
        </is>
      </c>
    </row>
    <row r="28">
      <c r="A28" s="13" t="inlineStr">
        <is>
          <t>Countertops — quartz/granite</t>
        </is>
      </c>
      <c r="B28" s="13" t="inlineStr">
        <is>
          <t>per SF</t>
        </is>
      </c>
      <c r="C28" s="7" t="n">
        <v>105</v>
      </c>
      <c r="D28" s="14" t="inlineStr">
        <is>
          <t>KTU internal rate card (Drive: 02 Sales &amp; Pricing, KTU_Custom_Kitchen_Price_Adjustments, 2026-06-05)</t>
        </is>
      </c>
    </row>
    <row r="29">
      <c r="A29" s="13" t="inlineStr">
        <is>
          <t>Backsplash — quartz/granite</t>
        </is>
      </c>
      <c r="B29" s="13" t="inlineStr">
        <is>
          <t>per SF</t>
        </is>
      </c>
      <c r="C29" s="7" t="n">
        <v>115</v>
      </c>
      <c r="D29" s="14" t="inlineStr">
        <is>
          <t>KTU internal rate card (Drive: 02 Sales &amp; Pricing, KTU_Custom_Kitchen_Price_Adjustments, 2026-06-05)</t>
        </is>
      </c>
    </row>
    <row r="30">
      <c r="A30" s="13" t="inlineStr">
        <is>
          <t>Backsplash — ceramic tile</t>
        </is>
      </c>
      <c r="B30" s="13" t="inlineStr">
        <is>
          <t>per SF</t>
        </is>
      </c>
      <c r="C30" s="7" t="n">
        <v>96</v>
      </c>
      <c r="D30" s="14" t="inlineStr">
        <is>
          <t>KTU internal rate card (Drive: 02 Sales &amp; Pricing, KTU_Custom_Kitchen_Price_Adjustments, 2026-06-05)</t>
        </is>
      </c>
    </row>
    <row r="31">
      <c r="A31" s="13" t="inlineStr">
        <is>
          <t>Plank flooring install</t>
        </is>
      </c>
      <c r="B31" s="13" t="inlineStr">
        <is>
          <t>per SF</t>
        </is>
      </c>
      <c r="C31" s="7" t="n">
        <v>6</v>
      </c>
      <c r="D31" s="14" t="inlineStr">
        <is>
          <t>KTU internal rate card (Drive: 02 Sales &amp; Pricing, KTU_Custom_Kitchen_Price_Adjustments, 2026-06-05)</t>
        </is>
      </c>
    </row>
    <row r="32">
      <c r="A32" s="13" t="inlineStr">
        <is>
          <t>Existing kitchen disposal / demo</t>
        </is>
      </c>
      <c r="B32" s="13" t="inlineStr">
        <is>
          <t>per job</t>
        </is>
      </c>
      <c r="C32" s="7" t="n">
        <v>2300</v>
      </c>
      <c r="D32" s="14" t="inlineStr">
        <is>
          <t>KTU internal rate card (Drive: 02 Sales &amp; Pricing, KTU_Custom_Kitchen_Price_Adjustments, 2026-06-05)</t>
        </is>
      </c>
    </row>
    <row r="33">
      <c r="A33" s="13" t="inlineStr">
        <is>
          <t>Wall removal / entryway</t>
        </is>
      </c>
      <c r="B33" s="13" t="inlineStr">
        <is>
          <t>per opening</t>
        </is>
      </c>
      <c r="C33" s="7" t="n">
        <v>1535</v>
      </c>
      <c r="D33" s="14" t="inlineStr">
        <is>
          <t>KTU internal rate card (Drive: 02 Sales &amp; Pricing, KTU_Custom_Kitchen_Price_Adjustments, 2026-06-05)</t>
        </is>
      </c>
    </row>
    <row r="34">
      <c r="A34" s="13" t="inlineStr">
        <is>
          <t>Paint kitchen walls and ceiling</t>
        </is>
      </c>
      <c r="B34" s="13" t="inlineStr">
        <is>
          <t>per job</t>
        </is>
      </c>
      <c r="C34" s="7" t="n">
        <v>1920</v>
      </c>
      <c r="D34" s="14" t="inlineStr">
        <is>
          <t>KTU internal rate card (Drive: 02 Sales &amp; Pricing, KTU_Custom_Kitchen_Price_Adjustments, 2026-06-05)</t>
        </is>
      </c>
    </row>
    <row r="35">
      <c r="A35" s="13" t="inlineStr">
        <is>
          <t>Paint kitchen trims</t>
        </is>
      </c>
      <c r="B35" s="13" t="inlineStr">
        <is>
          <t>per job</t>
        </is>
      </c>
      <c r="C35" s="7" t="n">
        <v>650</v>
      </c>
      <c r="D35" s="14" t="inlineStr">
        <is>
          <t>KTU internal rate card (Drive: 02 Sales &amp; Pricing, KTU_Custom_Kitchen_Price_Adjustments, 2026-06-05)</t>
        </is>
      </c>
    </row>
    <row r="36">
      <c r="A36" s="13" t="inlineStr">
        <is>
          <t>Repair drywall and spackle</t>
        </is>
      </c>
      <c r="B36" s="13" t="inlineStr">
        <is>
          <t>per area</t>
        </is>
      </c>
      <c r="C36" s="7" t="n">
        <v>650</v>
      </c>
      <c r="D36" s="14" t="inlineStr">
        <is>
          <t>KTU internal rate card (Drive: 02 Sales &amp; Pricing, KTU_Custom_Kitchen_Price_Adjustments, 2026-06-05)</t>
        </is>
      </c>
    </row>
    <row r="37">
      <c r="A37" s="13" t="inlineStr">
        <is>
          <t>Reface rear of island</t>
        </is>
      </c>
      <c r="B37" s="13" t="inlineStr">
        <is>
          <t>per island</t>
        </is>
      </c>
      <c r="C37" s="7" t="n">
        <v>690</v>
      </c>
      <c r="D37" s="14" t="inlineStr">
        <is>
          <t>KTU internal rate card (Drive: 02 Sales &amp; Pricing, KTU_Custom_Kitchen_Price_Adjustments, 2026-06-05)</t>
        </is>
      </c>
    </row>
    <row r="38">
      <c r="A38" s="13" t="inlineStr">
        <is>
          <t>Refrigerator panel</t>
        </is>
      </c>
      <c r="B38" s="13" t="inlineStr">
        <is>
          <t>each</t>
        </is>
      </c>
      <c r="C38" s="7" t="n">
        <v>345</v>
      </c>
      <c r="D38" s="14" t="inlineStr">
        <is>
          <t>KTU internal rate card (Drive: 02 Sales &amp; Pricing, KTU_Custom_Kitchen_Price_Adjustments, 2026-06-05)</t>
        </is>
      </c>
    </row>
    <row r="39">
      <c r="A39" s="13" t="inlineStr">
        <is>
          <t>Microwave drawer base</t>
        </is>
      </c>
      <c r="B39" s="13" t="inlineStr">
        <is>
          <t>each</t>
        </is>
      </c>
      <c r="C39" s="7" t="n">
        <v>425</v>
      </c>
      <c r="D39" s="14" t="inlineStr">
        <is>
          <t>KTU internal rate card (Drive: 02 Sales &amp; Pricing, KTU_Custom_Kitchen_Price_Adjustments, 2026-06-05)</t>
        </is>
      </c>
    </row>
    <row r="40">
      <c r="A40" s="13" t="inlineStr">
        <is>
          <t>42" wall cabinet upcharge</t>
        </is>
      </c>
      <c r="B40" s="13" t="inlineStr">
        <is>
          <t>each</t>
        </is>
      </c>
      <c r="C40" s="7" t="n">
        <v>175</v>
      </c>
      <c r="D40" s="14" t="inlineStr">
        <is>
          <t>KTU internal rate card (Drive: 02 Sales &amp; Pricing, KTU_Custom_Kitchen_Price_Adjustments, 2026-06-05)</t>
        </is>
      </c>
    </row>
    <row r="41">
      <c r="A41" s="13" t="inlineStr">
        <is>
          <t>Matching end panels</t>
        </is>
      </c>
      <c r="B41" s="13" t="inlineStr">
        <is>
          <t>each</t>
        </is>
      </c>
      <c r="C41" s="7" t="n">
        <v>192</v>
      </c>
      <c r="D41" s="14" t="inlineStr">
        <is>
          <t>KTU internal rate card (Drive: 02 Sales &amp; Pricing, KTU_Custom_Kitchen_Price_Adjustments, 2026-06-05)</t>
        </is>
      </c>
    </row>
    <row r="42">
      <c r="A42" s="13" t="inlineStr">
        <is>
          <t>Lazy Susan</t>
        </is>
      </c>
      <c r="B42" s="13" t="inlineStr">
        <is>
          <t>each</t>
        </is>
      </c>
      <c r="C42" s="7" t="n">
        <v>460</v>
      </c>
      <c r="D42" s="14" t="inlineStr">
        <is>
          <t>KTU internal rate card (Drive: 02 Sales &amp; Pricing, KTU_Custom_Kitchen_Price_Adjustments, 2026-06-05)</t>
        </is>
      </c>
    </row>
    <row r="43">
      <c r="A43" s="13" t="inlineStr">
        <is>
          <t>Rollout trays</t>
        </is>
      </c>
      <c r="B43" s="13" t="inlineStr">
        <is>
          <t>each</t>
        </is>
      </c>
      <c r="C43" s="7" t="n">
        <v>275</v>
      </c>
      <c r="D43" s="14" t="inlineStr">
        <is>
          <t>KTU internal rate card (Drive: 02 Sales &amp; Pricing, KTU_Custom_Kitchen_Price_Adjustments, 2026-06-05)</t>
        </is>
      </c>
    </row>
    <row r="44">
      <c r="A44" s="13" t="inlineStr">
        <is>
          <t>Trash pullout</t>
        </is>
      </c>
      <c r="B44" s="13" t="inlineStr">
        <is>
          <t>each</t>
        </is>
      </c>
      <c r="C44" s="7" t="n">
        <v>450</v>
      </c>
      <c r="D44" s="14" t="inlineStr">
        <is>
          <t>KTU internal rate card (Drive: 02 Sales &amp; Pricing, KTU_Custom_Kitchen_Price_Adjustments, 2026-06-05)</t>
        </is>
      </c>
    </row>
    <row r="45">
      <c r="A45" s="13" t="inlineStr">
        <is>
          <t>Add crown molding</t>
        </is>
      </c>
      <c r="B45" s="13" t="inlineStr">
        <is>
          <t>per run</t>
        </is>
      </c>
      <c r="C45" s="7" t="n">
        <v>230</v>
      </c>
      <c r="D45" s="14" t="inlineStr">
        <is>
          <t>KTU internal rate card (Drive: 02 Sales &amp; Pricing, KTU_Custom_Kitchen_Price_Adjustments, 2026-06-05)</t>
        </is>
      </c>
    </row>
    <row r="46">
      <c r="A46" s="13" t="inlineStr">
        <is>
          <t>Crown transition</t>
        </is>
      </c>
      <c r="B46" s="13" t="inlineStr">
        <is>
          <t>per piece</t>
        </is>
      </c>
      <c r="C46" s="7" t="n">
        <v>230</v>
      </c>
      <c r="D46" s="14" t="inlineStr">
        <is>
          <t>KTU internal rate card (Drive: 02 Sales &amp; Pricing, KTU_Custom_Kitchen_Price_Adjustments, 2026-06-05)</t>
        </is>
      </c>
    </row>
    <row r="47">
      <c r="A47" s="13" t="inlineStr">
        <is>
          <t>Hardware — material</t>
        </is>
      </c>
      <c r="B47" s="13" t="inlineStr">
        <is>
          <t>per piece</t>
        </is>
      </c>
      <c r="C47" s="7" t="n">
        <v>17</v>
      </c>
      <c r="D47" s="14" t="inlineStr">
        <is>
          <t>KTU internal rate card (Drive: 02 Sales &amp; Pricing, KTU_Custom_Kitchen_Price_Adjustments, 2026-06-05)</t>
        </is>
      </c>
    </row>
    <row r="48">
      <c r="A48" s="13" t="inlineStr">
        <is>
          <t>Hardware — install</t>
        </is>
      </c>
      <c r="B48" s="13" t="inlineStr">
        <is>
          <t>per piece</t>
        </is>
      </c>
      <c r="C48" s="7" t="n">
        <v>17</v>
      </c>
      <c r="D48" s="14" t="inlineStr">
        <is>
          <t>KTU internal rate card (Drive: 02 Sales &amp; Pricing, KTU_Custom_Kitchen_Price_Adjustments, 2026-06-05)</t>
        </is>
      </c>
    </row>
    <row r="49">
      <c r="A49" s="13" t="inlineStr">
        <is>
          <t>Undercabinet lighting</t>
        </is>
      </c>
      <c r="B49" s="13" t="inlineStr">
        <is>
          <t>per job</t>
        </is>
      </c>
      <c r="C49" s="7" t="n">
        <v>1150</v>
      </c>
      <c r="D49" s="14" t="inlineStr">
        <is>
          <t>KTU internal rate card (Drive: 02 Sales &amp; Pricing, KTU_Custom_Kitchen_Price_Adjustments, 2026-06-05)</t>
        </is>
      </c>
    </row>
    <row r="50">
      <c r="A50" s="13" t="inlineStr">
        <is>
          <t>Sink hook-up</t>
        </is>
      </c>
      <c r="B50" s="13" t="inlineStr">
        <is>
          <t>each</t>
        </is>
      </c>
      <c r="C50" s="7" t="n">
        <v>385</v>
      </c>
      <c r="D50" s="14" t="inlineStr">
        <is>
          <t>KTU internal rate card (Drive: 02 Sales &amp; Pricing, KTU_Custom_Kitchen_Price_Adjustments, 2026-06-05)</t>
        </is>
      </c>
    </row>
    <row r="51">
      <c r="A51" s="13" t="inlineStr">
        <is>
          <t>Sink allowance</t>
        </is>
      </c>
      <c r="B51" s="13" t="inlineStr">
        <is>
          <t>each</t>
        </is>
      </c>
      <c r="C51" s="7" t="n">
        <v>275</v>
      </c>
      <c r="D51" s="14" t="inlineStr">
        <is>
          <t>KTU internal rate card (Drive: 02 Sales &amp; Pricing, KTU_Custom_Kitchen_Price_Adjustments, 2026-06-05)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6" customWidth="1" min="4" max="4"/>
    <col width="52" customWidth="1" min="5" max="5"/>
  </cols>
  <sheetData>
    <row r="1" ht="24" customHeight="1">
      <c r="A1" s="1" t="inlineStr">
        <is>
          <t>QUICK QUOTE — price a job by door count</t>
        </is>
      </c>
    </row>
    <row r="3">
      <c r="A3" s="4" t="inlineStr">
        <is>
          <t>Fill in the YELLOW cells only. Everything else calculates. Blue text = you type it; black = formula.</t>
        </is>
      </c>
    </row>
    <row r="5">
      <c r="A5" s="10" t="inlineStr">
        <is>
          <t>JOB INFO</t>
        </is>
      </c>
    </row>
    <row r="6">
      <c r="A6" s="11" t="inlineStr">
        <is>
          <t>Customer</t>
        </is>
      </c>
      <c r="B6" s="15" t="inlineStr">
        <is>
          <t>Example: Smith, 14 Maple Ave</t>
        </is>
      </c>
    </row>
    <row r="7">
      <c r="A7" s="11" t="inlineStr">
        <is>
          <t>Date</t>
        </is>
      </c>
      <c r="B7" s="15" t="inlineStr">
        <is>
          <t>2026-08-18</t>
        </is>
      </c>
    </row>
    <row r="8">
      <c r="A8" s="11" t="inlineStr">
        <is>
          <t>Sales rep</t>
        </is>
      </c>
      <c r="B8" s="15" t="inlineStr">
        <is>
          <t>Example: Rep name</t>
        </is>
      </c>
    </row>
    <row r="10">
      <c r="A10" s="10" t="inlineStr">
        <is>
          <t>SCOPE</t>
        </is>
      </c>
    </row>
    <row r="11">
      <c r="A11" s="11" t="inlineStr">
        <is>
          <t>Service</t>
        </is>
      </c>
      <c r="B11" s="15" t="inlineStr">
        <is>
          <t>Refacing</t>
        </is>
      </c>
      <c r="C11" s="4" t="inlineStr">
        <is>
          <t>← pick from the dropdown</t>
        </is>
      </c>
    </row>
    <row r="12">
      <c r="A12" s="11" t="inlineStr">
        <is>
          <t>Level (1 / 2 / 3)</t>
        </is>
      </c>
      <c r="B12" s="9" t="n">
        <v>2</v>
      </c>
    </row>
    <row r="13">
      <c r="A13" s="11" t="inlineStr">
        <is>
          <t>Door count</t>
        </is>
      </c>
      <c r="B13" s="9" t="n">
        <v>32</v>
      </c>
      <c r="C13" s="4" t="inlineStr">
        <is>
          <t>Count every hinged door, including pantry and appliance-panel doors.</t>
        </is>
      </c>
    </row>
    <row r="14">
      <c r="A14" s="11" t="inlineStr">
        <is>
          <t>Drawer front count</t>
        </is>
      </c>
      <c r="B14" s="9" t="n">
        <v>14</v>
      </c>
      <c r="C14" s="4" t="inlineStr">
        <is>
          <t>Count every drawer front and false front.</t>
        </is>
      </c>
    </row>
    <row r="16">
      <c r="A16" s="10" t="inlineStr">
        <is>
          <t>CABINET WORK</t>
        </is>
      </c>
    </row>
    <row r="17">
      <c r="A17" s="5" t="inlineStr">
        <is>
          <t>Line</t>
        </is>
      </c>
      <c r="B17" s="5" t="inlineStr">
        <is>
          <t>Qty</t>
        </is>
      </c>
      <c r="C17" s="5" t="inlineStr">
        <is>
          <t>Rate</t>
        </is>
      </c>
      <c r="D17" s="5" t="inlineStr">
        <is>
          <t>Amount</t>
        </is>
      </c>
    </row>
    <row r="18">
      <c r="A18" s="13" t="inlineStr">
        <is>
          <t>Job base (measure, delivery, set-up, clean-up)</t>
        </is>
      </c>
      <c r="B18" s="16" t="n">
        <v>1</v>
      </c>
      <c r="C18" s="17">
        <f>INDEX('Rate Card'!$B$6:$B$10,MATCH($B$11,'Rate Card'!$A$6:$A$10,0))</f>
        <v/>
      </c>
      <c r="D18" s="18">
        <f>B18*C18</f>
        <v/>
      </c>
    </row>
    <row r="19">
      <c r="A19" s="13" t="inlineStr">
        <is>
          <t>Doors</t>
        </is>
      </c>
      <c r="B19" s="19">
        <f>$B$13</f>
        <v/>
      </c>
      <c r="C19" s="17">
        <f>INDEX('Rate Card'!$C$6:$H$10,MATCH($B$11,'Rate Card'!$A$6:$A$10,0),$B$12*2-1)</f>
        <v/>
      </c>
      <c r="D19" s="18">
        <f>B19*C19</f>
        <v/>
      </c>
    </row>
    <row r="20">
      <c r="A20" s="13" t="inlineStr">
        <is>
          <t>Drawer fronts</t>
        </is>
      </c>
      <c r="B20" s="19">
        <f>$B$14</f>
        <v/>
      </c>
      <c r="C20" s="17">
        <f>INDEX('Rate Card'!$C$6:$H$10,MATCH($B$11,'Rate Card'!$A$6:$A$10,0),$B$12*2)</f>
        <v/>
      </c>
      <c r="D20" s="18">
        <f>B20*C20</f>
        <v/>
      </c>
    </row>
    <row r="21">
      <c r="A21" s="11" t="inlineStr">
        <is>
          <t>Cabinet work subtotal</t>
        </is>
      </c>
      <c r="D21" s="20">
        <f>SUM(D18:D20)</f>
        <v/>
      </c>
    </row>
    <row r="23">
      <c r="A23" s="10" t="inlineStr">
        <is>
          <t>ADD-ONS — enter a quantity next to anything the job includes</t>
        </is>
      </c>
    </row>
    <row r="24">
      <c r="A24" s="5" t="inlineStr">
        <is>
          <t>Add-On</t>
        </is>
      </c>
      <c r="B24" s="5" t="inlineStr">
        <is>
          <t>Qty</t>
        </is>
      </c>
      <c r="C24" s="5" t="inlineStr">
        <is>
          <t>Unit</t>
        </is>
      </c>
      <c r="D24" s="5" t="inlineStr">
        <is>
          <t>Rate</t>
        </is>
      </c>
      <c r="E24" s="5" t="inlineStr">
        <is>
          <t>Amount</t>
        </is>
      </c>
    </row>
    <row r="25">
      <c r="A25" s="21">
        <f>'Rate Card'!A27</f>
        <v/>
      </c>
      <c r="B25" s="22" t="n">
        <v>0</v>
      </c>
      <c r="C25" s="21">
        <f>'Rate Card'!B27</f>
        <v/>
      </c>
      <c r="D25" s="17">
        <f>'Rate Card'!C27</f>
        <v/>
      </c>
      <c r="E25" s="18">
        <f>B25*D25</f>
        <v/>
      </c>
    </row>
    <row r="26">
      <c r="A26" s="21">
        <f>'Rate Card'!A28</f>
        <v/>
      </c>
      <c r="B26" s="22" t="n">
        <v>0</v>
      </c>
      <c r="C26" s="21">
        <f>'Rate Card'!B28</f>
        <v/>
      </c>
      <c r="D26" s="17">
        <f>'Rate Card'!C28</f>
        <v/>
      </c>
      <c r="E26" s="18">
        <f>B26*D26</f>
        <v/>
      </c>
    </row>
    <row r="27">
      <c r="A27" s="21">
        <f>'Rate Card'!A29</f>
        <v/>
      </c>
      <c r="B27" s="22" t="n">
        <v>0</v>
      </c>
      <c r="C27" s="21">
        <f>'Rate Card'!B29</f>
        <v/>
      </c>
      <c r="D27" s="17">
        <f>'Rate Card'!C29</f>
        <v/>
      </c>
      <c r="E27" s="18">
        <f>B27*D27</f>
        <v/>
      </c>
    </row>
    <row r="28">
      <c r="A28" s="21">
        <f>'Rate Card'!A30</f>
        <v/>
      </c>
      <c r="B28" s="22" t="n">
        <v>0</v>
      </c>
      <c r="C28" s="21">
        <f>'Rate Card'!B30</f>
        <v/>
      </c>
      <c r="D28" s="17">
        <f>'Rate Card'!C30</f>
        <v/>
      </c>
      <c r="E28" s="18">
        <f>B28*D28</f>
        <v/>
      </c>
    </row>
    <row r="29">
      <c r="A29" s="21">
        <f>'Rate Card'!A31</f>
        <v/>
      </c>
      <c r="B29" s="22" t="n">
        <v>0</v>
      </c>
      <c r="C29" s="21">
        <f>'Rate Card'!B31</f>
        <v/>
      </c>
      <c r="D29" s="17">
        <f>'Rate Card'!C31</f>
        <v/>
      </c>
      <c r="E29" s="18">
        <f>B29*D29</f>
        <v/>
      </c>
    </row>
    <row r="30">
      <c r="A30" s="21">
        <f>'Rate Card'!A32</f>
        <v/>
      </c>
      <c r="B30" s="22" t="n">
        <v>0</v>
      </c>
      <c r="C30" s="21">
        <f>'Rate Card'!B32</f>
        <v/>
      </c>
      <c r="D30" s="17">
        <f>'Rate Card'!C32</f>
        <v/>
      </c>
      <c r="E30" s="18">
        <f>B30*D30</f>
        <v/>
      </c>
    </row>
    <row r="31">
      <c r="A31" s="21">
        <f>'Rate Card'!A33</f>
        <v/>
      </c>
      <c r="B31" s="22" t="n">
        <v>0</v>
      </c>
      <c r="C31" s="21">
        <f>'Rate Card'!B33</f>
        <v/>
      </c>
      <c r="D31" s="17">
        <f>'Rate Card'!C33</f>
        <v/>
      </c>
      <c r="E31" s="18">
        <f>B31*D31</f>
        <v/>
      </c>
    </row>
    <row r="32">
      <c r="A32" s="21">
        <f>'Rate Card'!A34</f>
        <v/>
      </c>
      <c r="B32" s="22" t="n">
        <v>0</v>
      </c>
      <c r="C32" s="21">
        <f>'Rate Card'!B34</f>
        <v/>
      </c>
      <c r="D32" s="17">
        <f>'Rate Card'!C34</f>
        <v/>
      </c>
      <c r="E32" s="18">
        <f>B32*D32</f>
        <v/>
      </c>
    </row>
    <row r="33">
      <c r="A33" s="21">
        <f>'Rate Card'!A35</f>
        <v/>
      </c>
      <c r="B33" s="22" t="n">
        <v>0</v>
      </c>
      <c r="C33" s="21">
        <f>'Rate Card'!B35</f>
        <v/>
      </c>
      <c r="D33" s="17">
        <f>'Rate Card'!C35</f>
        <v/>
      </c>
      <c r="E33" s="18">
        <f>B33*D33</f>
        <v/>
      </c>
    </row>
    <row r="34">
      <c r="A34" s="21">
        <f>'Rate Card'!A36</f>
        <v/>
      </c>
      <c r="B34" s="22" t="n">
        <v>0</v>
      </c>
      <c r="C34" s="21">
        <f>'Rate Card'!B36</f>
        <v/>
      </c>
      <c r="D34" s="17">
        <f>'Rate Card'!C36</f>
        <v/>
      </c>
      <c r="E34" s="18">
        <f>B34*D34</f>
        <v/>
      </c>
    </row>
    <row r="35">
      <c r="A35" s="21">
        <f>'Rate Card'!A37</f>
        <v/>
      </c>
      <c r="B35" s="22" t="n">
        <v>0</v>
      </c>
      <c r="C35" s="21">
        <f>'Rate Card'!B37</f>
        <v/>
      </c>
      <c r="D35" s="17">
        <f>'Rate Card'!C37</f>
        <v/>
      </c>
      <c r="E35" s="18">
        <f>B35*D35</f>
        <v/>
      </c>
    </row>
    <row r="36">
      <c r="A36" s="21">
        <f>'Rate Card'!A38</f>
        <v/>
      </c>
      <c r="B36" s="22" t="n">
        <v>0</v>
      </c>
      <c r="C36" s="21">
        <f>'Rate Card'!B38</f>
        <v/>
      </c>
      <c r="D36" s="17">
        <f>'Rate Card'!C38</f>
        <v/>
      </c>
      <c r="E36" s="18">
        <f>B36*D36</f>
        <v/>
      </c>
    </row>
    <row r="37">
      <c r="A37" s="21">
        <f>'Rate Card'!A39</f>
        <v/>
      </c>
      <c r="B37" s="22" t="n">
        <v>0</v>
      </c>
      <c r="C37" s="21">
        <f>'Rate Card'!B39</f>
        <v/>
      </c>
      <c r="D37" s="17">
        <f>'Rate Card'!C39</f>
        <v/>
      </c>
      <c r="E37" s="18">
        <f>B37*D37</f>
        <v/>
      </c>
    </row>
    <row r="38">
      <c r="A38" s="21">
        <f>'Rate Card'!A40</f>
        <v/>
      </c>
      <c r="B38" s="22" t="n">
        <v>0</v>
      </c>
      <c r="C38" s="21">
        <f>'Rate Card'!B40</f>
        <v/>
      </c>
      <c r="D38" s="17">
        <f>'Rate Card'!C40</f>
        <v/>
      </c>
      <c r="E38" s="18">
        <f>B38*D38</f>
        <v/>
      </c>
    </row>
    <row r="39">
      <c r="A39" s="21">
        <f>'Rate Card'!A41</f>
        <v/>
      </c>
      <c r="B39" s="22" t="n">
        <v>0</v>
      </c>
      <c r="C39" s="21">
        <f>'Rate Card'!B41</f>
        <v/>
      </c>
      <c r="D39" s="17">
        <f>'Rate Card'!C41</f>
        <v/>
      </c>
      <c r="E39" s="18">
        <f>B39*D39</f>
        <v/>
      </c>
    </row>
    <row r="40">
      <c r="A40" s="21">
        <f>'Rate Card'!A42</f>
        <v/>
      </c>
      <c r="B40" s="22" t="n">
        <v>0</v>
      </c>
      <c r="C40" s="21">
        <f>'Rate Card'!B42</f>
        <v/>
      </c>
      <c r="D40" s="17">
        <f>'Rate Card'!C42</f>
        <v/>
      </c>
      <c r="E40" s="18">
        <f>B40*D40</f>
        <v/>
      </c>
    </row>
    <row r="41">
      <c r="A41" s="21">
        <f>'Rate Card'!A43</f>
        <v/>
      </c>
      <c r="B41" s="22" t="n">
        <v>0</v>
      </c>
      <c r="C41" s="21">
        <f>'Rate Card'!B43</f>
        <v/>
      </c>
      <c r="D41" s="17">
        <f>'Rate Card'!C43</f>
        <v/>
      </c>
      <c r="E41" s="18">
        <f>B41*D41</f>
        <v/>
      </c>
    </row>
    <row r="42">
      <c r="A42" s="21">
        <f>'Rate Card'!A44</f>
        <v/>
      </c>
      <c r="B42" s="22" t="n">
        <v>0</v>
      </c>
      <c r="C42" s="21">
        <f>'Rate Card'!B44</f>
        <v/>
      </c>
      <c r="D42" s="17">
        <f>'Rate Card'!C44</f>
        <v/>
      </c>
      <c r="E42" s="18">
        <f>B42*D42</f>
        <v/>
      </c>
    </row>
    <row r="43">
      <c r="A43" s="21">
        <f>'Rate Card'!A45</f>
        <v/>
      </c>
      <c r="B43" s="22" t="n">
        <v>0</v>
      </c>
      <c r="C43" s="21">
        <f>'Rate Card'!B45</f>
        <v/>
      </c>
      <c r="D43" s="17">
        <f>'Rate Card'!C45</f>
        <v/>
      </c>
      <c r="E43" s="18">
        <f>B43*D43</f>
        <v/>
      </c>
    </row>
    <row r="44">
      <c r="A44" s="21">
        <f>'Rate Card'!A46</f>
        <v/>
      </c>
      <c r="B44" s="22" t="n">
        <v>0</v>
      </c>
      <c r="C44" s="21">
        <f>'Rate Card'!B46</f>
        <v/>
      </c>
      <c r="D44" s="17">
        <f>'Rate Card'!C46</f>
        <v/>
      </c>
      <c r="E44" s="18">
        <f>B44*D44</f>
        <v/>
      </c>
    </row>
    <row r="45">
      <c r="A45" s="21">
        <f>'Rate Card'!A47</f>
        <v/>
      </c>
      <c r="B45" s="22" t="n">
        <v>0</v>
      </c>
      <c r="C45" s="21">
        <f>'Rate Card'!B47</f>
        <v/>
      </c>
      <c r="D45" s="17">
        <f>'Rate Card'!C47</f>
        <v/>
      </c>
      <c r="E45" s="18">
        <f>B45*D45</f>
        <v/>
      </c>
    </row>
    <row r="46">
      <c r="A46" s="21">
        <f>'Rate Card'!A48</f>
        <v/>
      </c>
      <c r="B46" s="22" t="n">
        <v>0</v>
      </c>
      <c r="C46" s="21">
        <f>'Rate Card'!B48</f>
        <v/>
      </c>
      <c r="D46" s="17">
        <f>'Rate Card'!C48</f>
        <v/>
      </c>
      <c r="E46" s="18">
        <f>B46*D46</f>
        <v/>
      </c>
    </row>
    <row r="47">
      <c r="A47" s="21">
        <f>'Rate Card'!A49</f>
        <v/>
      </c>
      <c r="B47" s="22" t="n">
        <v>0</v>
      </c>
      <c r="C47" s="21">
        <f>'Rate Card'!B49</f>
        <v/>
      </c>
      <c r="D47" s="17">
        <f>'Rate Card'!C49</f>
        <v/>
      </c>
      <c r="E47" s="18">
        <f>B47*D47</f>
        <v/>
      </c>
    </row>
    <row r="48">
      <c r="A48" s="21">
        <f>'Rate Card'!A50</f>
        <v/>
      </c>
      <c r="B48" s="22" t="n">
        <v>0</v>
      </c>
      <c r="C48" s="21">
        <f>'Rate Card'!B50</f>
        <v/>
      </c>
      <c r="D48" s="17">
        <f>'Rate Card'!C50</f>
        <v/>
      </c>
      <c r="E48" s="18">
        <f>B48*D48</f>
        <v/>
      </c>
    </row>
    <row r="49">
      <c r="A49" s="21">
        <f>'Rate Card'!A51</f>
        <v/>
      </c>
      <c r="B49" s="22" t="n">
        <v>0</v>
      </c>
      <c r="C49" s="21">
        <f>'Rate Card'!B51</f>
        <v/>
      </c>
      <c r="D49" s="17">
        <f>'Rate Card'!C51</f>
        <v/>
      </c>
      <c r="E49" s="18">
        <f>B49*D49</f>
        <v/>
      </c>
    </row>
    <row r="50">
      <c r="A50" s="11" t="inlineStr">
        <is>
          <t>Add-ons subtotal</t>
        </is>
      </c>
      <c r="E50" s="20">
        <f>SUM(E25:E49)</f>
        <v/>
      </c>
    </row>
    <row r="52">
      <c r="A52" s="10" t="inlineStr">
        <is>
          <t>PRICE BUILD-UP</t>
        </is>
      </c>
    </row>
    <row r="53">
      <c r="A53" s="23" t="inlineStr">
        <is>
          <t>Line-item subtotal</t>
        </is>
      </c>
      <c r="D53" s="18">
        <f>$D$21+$E$50</f>
        <v/>
      </c>
    </row>
    <row r="54">
      <c r="A54" s="23" t="inlineStr">
        <is>
          <t>Shop Labor</t>
        </is>
      </c>
      <c r="D54" s="18">
        <f>D53*'Rate Card'!$B$17</f>
        <v/>
      </c>
    </row>
    <row r="55">
      <c r="A55" s="23" t="inlineStr">
        <is>
          <t>Shop Overhead</t>
        </is>
      </c>
      <c r="D55" s="18">
        <f>D53*'Rate Card'!$B$18</f>
        <v/>
      </c>
    </row>
    <row r="56">
      <c r="A56" s="11" t="inlineStr">
        <is>
          <t>Price before minimum</t>
        </is>
      </c>
      <c r="D56" s="24">
        <f>SUM(D53:D55)</f>
        <v/>
      </c>
    </row>
    <row r="57">
      <c r="A57" s="23" t="inlineStr">
        <is>
          <t>Job minimum</t>
        </is>
      </c>
      <c r="D57" s="17">
        <f>'Rate Card'!$B$19</f>
        <v/>
      </c>
    </row>
    <row r="58">
      <c r="A58" s="23" t="inlineStr">
        <is>
          <t>Discount (enter as a positive $)</t>
        </is>
      </c>
      <c r="D58" s="7" t="n">
        <v>0</v>
      </c>
    </row>
    <row r="59">
      <c r="A59" s="23" t="inlineStr">
        <is>
          <t>QUOTED PRICE</t>
        </is>
      </c>
      <c r="D59" s="25">
        <f>MAX(D56-D58,D57)</f>
        <v/>
      </c>
      <c r="E59" s="26">
        <f>IF($D$59='Rate Card'!$B$19,"MINIMUM APPLIED — job priced up to the $2,500 floor","")</f>
        <v/>
      </c>
    </row>
    <row r="60">
      <c r="A60" s="23" t="inlineStr">
        <is>
          <t>Deposit due at signing</t>
        </is>
      </c>
      <c r="D60" s="18">
        <f>D59*'Rate Card'!$B$20</f>
        <v/>
      </c>
    </row>
    <row r="61">
      <c r="A61" s="23" t="inlineStr">
        <is>
          <t>Balance</t>
        </is>
      </c>
      <c r="D61" s="18">
        <f>D59-D60</f>
        <v/>
      </c>
    </row>
    <row r="63">
      <c r="A63" s="27" t="inlineStr">
        <is>
          <t>MARGIN CHECK (internal — do not show the customer)</t>
        </is>
      </c>
    </row>
    <row r="64">
      <c r="A64" s="23" t="inlineStr">
        <is>
          <t>Estimated crew hours</t>
        </is>
      </c>
      <c r="D64" s="28">
        <f>INDEX('Rate Card'!$K$6:$K$10,MATCH($B$11,'Rate Card'!$A$6:$A$10,0))+$B$13*INDEX('Rate Card'!$I$6:$I$10,MATCH($B$11,'Rate Card'!$A$6:$A$10,0))+$B$14*INDEX('Rate Card'!$J$6:$J$10,MATCH($B$11,'Rate Card'!$A$6:$A$10,0))</f>
        <v/>
      </c>
    </row>
    <row r="65">
      <c r="A65" s="23" t="inlineStr">
        <is>
          <t>Crew rate ($/hr)</t>
        </is>
      </c>
      <c r="D65" s="18">
        <f>INDEX('Rate Card'!$L$6:$L$10,MATCH($B$11,'Rate Card'!$A$6:$A$10,0))</f>
        <v/>
      </c>
    </row>
    <row r="66">
      <c r="A66" s="23" t="inlineStr">
        <is>
          <t>Estimated direct labor cost</t>
        </is>
      </c>
      <c r="D66" s="18">
        <f>D64*D65</f>
        <v/>
      </c>
    </row>
    <row r="67">
      <c r="A67" s="23" t="inlineStr">
        <is>
          <t>Direct labor % of quoted price</t>
        </is>
      </c>
      <c r="D67" s="29">
        <f>IFERROR(D66/$D$59,0)</f>
        <v/>
      </c>
      <c r="E67" s="11">
        <f>IF(D67&gt;'Rate Card'!$B$21,"OVER the 20% labor ceiling — re-check hours or raise the price","Within the 20% labor ceiling")</f>
        <v/>
      </c>
    </row>
    <row r="69">
      <c r="A69" s="4" t="inlineStr">
        <is>
          <t>Labor hours are estimates from scope, not Construction Clock actuals. Materials, subs and vendor costs are not in this check.</t>
        </is>
      </c>
    </row>
  </sheetData>
  <mergeCells count="1">
    <mergeCell ref="A1:F1"/>
  </mergeCells>
  <dataValidations count="2">
    <dataValidation sqref="B11" showDropDown="0" showInputMessage="0" showErrorMessage="0" allowBlank="0" type="list">
      <formula1>='Rate Card'!$A$6:$A$10</formula1>
    </dataValidation>
    <dataValidation sqref="B12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4" customHeight="1">
      <c r="A1" s="1" t="inlineStr">
        <is>
          <t>PRICE BY DOOR COUNT — all-in quoted price, including Shop Labor, Overhead and the job minimum</t>
        </is>
      </c>
    </row>
    <row r="3">
      <c r="A3" s="4" t="inlineStr">
        <is>
          <t>Drawer fronts are estimated at the ratio on the Rate Card (default 0.45 per door). Add-ons are NOT included — add them from the Quick Quote tab. Shaded cells are jobs the minimum lifted.</t>
        </is>
      </c>
    </row>
    <row r="5" ht="42" customHeight="1">
      <c r="A5" s="5" t="inlineStr">
        <is>
          <t>Doors</t>
        </is>
      </c>
      <c r="B5" s="5" t="inlineStr">
        <is>
          <t>Drawer fronts (est.)</t>
        </is>
      </c>
      <c r="C5" s="30" t="inlineStr">
        <is>
          <t>Tune-Up / Reconditioning
L1</t>
        </is>
      </c>
      <c r="D5" s="30" t="inlineStr">
        <is>
          <t>Tune-Up / Reconditioning
L2</t>
        </is>
      </c>
      <c r="E5" s="30" t="inlineStr">
        <is>
          <t>Tune-Up / Reconditioning
L3</t>
        </is>
      </c>
      <c r="F5" s="30" t="inlineStr">
        <is>
          <t>Cabinet Painting
L1</t>
        </is>
      </c>
      <c r="G5" s="30" t="inlineStr">
        <is>
          <t>Cabinet Painting
L2</t>
        </is>
      </c>
      <c r="H5" s="30" t="inlineStr">
        <is>
          <t>Cabinet Painting
L3</t>
        </is>
      </c>
      <c r="I5" s="30" t="inlineStr">
        <is>
          <t>Redooring
L1</t>
        </is>
      </c>
      <c r="J5" s="30" t="inlineStr">
        <is>
          <t>Redooring
L2</t>
        </is>
      </c>
      <c r="K5" s="30" t="inlineStr">
        <is>
          <t>Redooring
L3</t>
        </is>
      </c>
      <c r="L5" s="30" t="inlineStr">
        <is>
          <t>Refacing
L1</t>
        </is>
      </c>
      <c r="M5" s="30" t="inlineStr">
        <is>
          <t>Refacing
L2</t>
        </is>
      </c>
      <c r="N5" s="30" t="inlineStr">
        <is>
          <t>Refacing
L3</t>
        </is>
      </c>
      <c r="O5" s="30" t="inlineStr">
        <is>
          <t>Reface Plus
L1</t>
        </is>
      </c>
      <c r="P5" s="30" t="inlineStr">
        <is>
          <t>Reface Plus
L2</t>
        </is>
      </c>
      <c r="Q5" s="30" t="inlineStr">
        <is>
          <t>Reface Plus
L3</t>
        </is>
      </c>
    </row>
    <row r="6">
      <c r="A6" s="16" t="n">
        <v>8</v>
      </c>
      <c r="B6" s="19">
        <f>ROUND($A6*'Rate Card'!$B$22,0)</f>
        <v/>
      </c>
      <c r="C6" s="18">
        <f>MAX('Rate Card'!$B$19,('Rate Card'!$B$6+$A6*'Rate Card'!$C$6+$B6*'Rate Card'!$D$6)*(1+'Rate Card'!$B$17+'Rate Card'!$B$18))</f>
        <v/>
      </c>
      <c r="D6" s="18">
        <f>MAX('Rate Card'!$B$19,('Rate Card'!$B$6+$A6*'Rate Card'!$E$6+$B6*'Rate Card'!$F$6)*(1+'Rate Card'!$B$17+'Rate Card'!$B$18))</f>
        <v/>
      </c>
      <c r="E6" s="18">
        <f>MAX('Rate Card'!$B$19,('Rate Card'!$B$6+$A6*'Rate Card'!$G$6+$B6*'Rate Card'!$H$6)*(1+'Rate Card'!$B$17+'Rate Card'!$B$18))</f>
        <v/>
      </c>
      <c r="F6" s="18">
        <f>MAX('Rate Card'!$B$19,('Rate Card'!$B$7+$A6*'Rate Card'!$C$7+$B6*'Rate Card'!$D$7)*(1+'Rate Card'!$B$17+'Rate Card'!$B$18))</f>
        <v/>
      </c>
      <c r="G6" s="18">
        <f>MAX('Rate Card'!$B$19,('Rate Card'!$B$7+$A6*'Rate Card'!$E$7+$B6*'Rate Card'!$F$7)*(1+'Rate Card'!$B$17+'Rate Card'!$B$18))</f>
        <v/>
      </c>
      <c r="H6" s="18">
        <f>MAX('Rate Card'!$B$19,('Rate Card'!$B$7+$A6*'Rate Card'!$G$7+$B6*'Rate Card'!$H$7)*(1+'Rate Card'!$B$17+'Rate Card'!$B$18))</f>
        <v/>
      </c>
      <c r="I6" s="18">
        <f>MAX('Rate Card'!$B$19,('Rate Card'!$B$8+$A6*'Rate Card'!$C$8+$B6*'Rate Card'!$D$8)*(1+'Rate Card'!$B$17+'Rate Card'!$B$18))</f>
        <v/>
      </c>
      <c r="J6" s="18">
        <f>MAX('Rate Card'!$B$19,('Rate Card'!$B$8+$A6*'Rate Card'!$E$8+$B6*'Rate Card'!$F$8)*(1+'Rate Card'!$B$17+'Rate Card'!$B$18))</f>
        <v/>
      </c>
      <c r="K6" s="18">
        <f>MAX('Rate Card'!$B$19,('Rate Card'!$B$8+$A6*'Rate Card'!$G$8+$B6*'Rate Card'!$H$8)*(1+'Rate Card'!$B$17+'Rate Card'!$B$18))</f>
        <v/>
      </c>
      <c r="L6" s="18">
        <f>MAX('Rate Card'!$B$19,('Rate Card'!$B$9+$A6*'Rate Card'!$C$9+$B6*'Rate Card'!$D$9)*(1+'Rate Card'!$B$17+'Rate Card'!$B$18))</f>
        <v/>
      </c>
      <c r="M6" s="18">
        <f>MAX('Rate Card'!$B$19,('Rate Card'!$B$9+$A6*'Rate Card'!$E$9+$B6*'Rate Card'!$F$9)*(1+'Rate Card'!$B$17+'Rate Card'!$B$18))</f>
        <v/>
      </c>
      <c r="N6" s="18">
        <f>MAX('Rate Card'!$B$19,('Rate Card'!$B$9+$A6*'Rate Card'!$G$9+$B6*'Rate Card'!$H$9)*(1+'Rate Card'!$B$17+'Rate Card'!$B$18))</f>
        <v/>
      </c>
      <c r="O6" s="18">
        <f>MAX('Rate Card'!$B$19,('Rate Card'!$B$10+$A6*'Rate Card'!$C$10+$B6*'Rate Card'!$D$10)*(1+'Rate Card'!$B$17+'Rate Card'!$B$18))</f>
        <v/>
      </c>
      <c r="P6" s="18">
        <f>MAX('Rate Card'!$B$19,('Rate Card'!$B$10+$A6*'Rate Card'!$E$10+$B6*'Rate Card'!$F$10)*(1+'Rate Card'!$B$17+'Rate Card'!$B$18))</f>
        <v/>
      </c>
      <c r="Q6" s="18">
        <f>MAX('Rate Card'!$B$19,('Rate Card'!$B$10+$A6*'Rate Card'!$G$10+$B6*'Rate Card'!$H$10)*(1+'Rate Card'!$B$17+'Rate Card'!$B$18))</f>
        <v/>
      </c>
    </row>
    <row r="7">
      <c r="A7" s="16" t="n">
        <v>10</v>
      </c>
      <c r="B7" s="19">
        <f>ROUND($A7*'Rate Card'!$B$22,0)</f>
        <v/>
      </c>
      <c r="C7" s="18">
        <f>MAX('Rate Card'!$B$19,('Rate Card'!$B$6+$A7*'Rate Card'!$C$6+$B7*'Rate Card'!$D$6)*(1+'Rate Card'!$B$17+'Rate Card'!$B$18))</f>
        <v/>
      </c>
      <c r="D7" s="18">
        <f>MAX('Rate Card'!$B$19,('Rate Card'!$B$6+$A7*'Rate Card'!$E$6+$B7*'Rate Card'!$F$6)*(1+'Rate Card'!$B$17+'Rate Card'!$B$18))</f>
        <v/>
      </c>
      <c r="E7" s="18">
        <f>MAX('Rate Card'!$B$19,('Rate Card'!$B$6+$A7*'Rate Card'!$G$6+$B7*'Rate Card'!$H$6)*(1+'Rate Card'!$B$17+'Rate Card'!$B$18))</f>
        <v/>
      </c>
      <c r="F7" s="18">
        <f>MAX('Rate Card'!$B$19,('Rate Card'!$B$7+$A7*'Rate Card'!$C$7+$B7*'Rate Card'!$D$7)*(1+'Rate Card'!$B$17+'Rate Card'!$B$18))</f>
        <v/>
      </c>
      <c r="G7" s="18">
        <f>MAX('Rate Card'!$B$19,('Rate Card'!$B$7+$A7*'Rate Card'!$E$7+$B7*'Rate Card'!$F$7)*(1+'Rate Card'!$B$17+'Rate Card'!$B$18))</f>
        <v/>
      </c>
      <c r="H7" s="18">
        <f>MAX('Rate Card'!$B$19,('Rate Card'!$B$7+$A7*'Rate Card'!$G$7+$B7*'Rate Card'!$H$7)*(1+'Rate Card'!$B$17+'Rate Card'!$B$18))</f>
        <v/>
      </c>
      <c r="I7" s="18">
        <f>MAX('Rate Card'!$B$19,('Rate Card'!$B$8+$A7*'Rate Card'!$C$8+$B7*'Rate Card'!$D$8)*(1+'Rate Card'!$B$17+'Rate Card'!$B$18))</f>
        <v/>
      </c>
      <c r="J7" s="18">
        <f>MAX('Rate Card'!$B$19,('Rate Card'!$B$8+$A7*'Rate Card'!$E$8+$B7*'Rate Card'!$F$8)*(1+'Rate Card'!$B$17+'Rate Card'!$B$18))</f>
        <v/>
      </c>
      <c r="K7" s="18">
        <f>MAX('Rate Card'!$B$19,('Rate Card'!$B$8+$A7*'Rate Card'!$G$8+$B7*'Rate Card'!$H$8)*(1+'Rate Card'!$B$17+'Rate Card'!$B$18))</f>
        <v/>
      </c>
      <c r="L7" s="18">
        <f>MAX('Rate Card'!$B$19,('Rate Card'!$B$9+$A7*'Rate Card'!$C$9+$B7*'Rate Card'!$D$9)*(1+'Rate Card'!$B$17+'Rate Card'!$B$18))</f>
        <v/>
      </c>
      <c r="M7" s="18">
        <f>MAX('Rate Card'!$B$19,('Rate Card'!$B$9+$A7*'Rate Card'!$E$9+$B7*'Rate Card'!$F$9)*(1+'Rate Card'!$B$17+'Rate Card'!$B$18))</f>
        <v/>
      </c>
      <c r="N7" s="18">
        <f>MAX('Rate Card'!$B$19,('Rate Card'!$B$9+$A7*'Rate Card'!$G$9+$B7*'Rate Card'!$H$9)*(1+'Rate Card'!$B$17+'Rate Card'!$B$18))</f>
        <v/>
      </c>
      <c r="O7" s="18">
        <f>MAX('Rate Card'!$B$19,('Rate Card'!$B$10+$A7*'Rate Card'!$C$10+$B7*'Rate Card'!$D$10)*(1+'Rate Card'!$B$17+'Rate Card'!$B$18))</f>
        <v/>
      </c>
      <c r="P7" s="18">
        <f>MAX('Rate Card'!$B$19,('Rate Card'!$B$10+$A7*'Rate Card'!$E$10+$B7*'Rate Card'!$F$10)*(1+'Rate Card'!$B$17+'Rate Card'!$B$18))</f>
        <v/>
      </c>
      <c r="Q7" s="18">
        <f>MAX('Rate Card'!$B$19,('Rate Card'!$B$10+$A7*'Rate Card'!$G$10+$B7*'Rate Card'!$H$10)*(1+'Rate Card'!$B$17+'Rate Card'!$B$18))</f>
        <v/>
      </c>
    </row>
    <row r="8">
      <c r="A8" s="16" t="n">
        <v>12</v>
      </c>
      <c r="B8" s="19">
        <f>ROUND($A8*'Rate Card'!$B$22,0)</f>
        <v/>
      </c>
      <c r="C8" s="18">
        <f>MAX('Rate Card'!$B$19,('Rate Card'!$B$6+$A8*'Rate Card'!$C$6+$B8*'Rate Card'!$D$6)*(1+'Rate Card'!$B$17+'Rate Card'!$B$18))</f>
        <v/>
      </c>
      <c r="D8" s="18">
        <f>MAX('Rate Card'!$B$19,('Rate Card'!$B$6+$A8*'Rate Card'!$E$6+$B8*'Rate Card'!$F$6)*(1+'Rate Card'!$B$17+'Rate Card'!$B$18))</f>
        <v/>
      </c>
      <c r="E8" s="18">
        <f>MAX('Rate Card'!$B$19,('Rate Card'!$B$6+$A8*'Rate Card'!$G$6+$B8*'Rate Card'!$H$6)*(1+'Rate Card'!$B$17+'Rate Card'!$B$18))</f>
        <v/>
      </c>
      <c r="F8" s="18">
        <f>MAX('Rate Card'!$B$19,('Rate Card'!$B$7+$A8*'Rate Card'!$C$7+$B8*'Rate Card'!$D$7)*(1+'Rate Card'!$B$17+'Rate Card'!$B$18))</f>
        <v/>
      </c>
      <c r="G8" s="18">
        <f>MAX('Rate Card'!$B$19,('Rate Card'!$B$7+$A8*'Rate Card'!$E$7+$B8*'Rate Card'!$F$7)*(1+'Rate Card'!$B$17+'Rate Card'!$B$18))</f>
        <v/>
      </c>
      <c r="H8" s="18">
        <f>MAX('Rate Card'!$B$19,('Rate Card'!$B$7+$A8*'Rate Card'!$G$7+$B8*'Rate Card'!$H$7)*(1+'Rate Card'!$B$17+'Rate Card'!$B$18))</f>
        <v/>
      </c>
      <c r="I8" s="18">
        <f>MAX('Rate Card'!$B$19,('Rate Card'!$B$8+$A8*'Rate Card'!$C$8+$B8*'Rate Card'!$D$8)*(1+'Rate Card'!$B$17+'Rate Card'!$B$18))</f>
        <v/>
      </c>
      <c r="J8" s="18">
        <f>MAX('Rate Card'!$B$19,('Rate Card'!$B$8+$A8*'Rate Card'!$E$8+$B8*'Rate Card'!$F$8)*(1+'Rate Card'!$B$17+'Rate Card'!$B$18))</f>
        <v/>
      </c>
      <c r="K8" s="18">
        <f>MAX('Rate Card'!$B$19,('Rate Card'!$B$8+$A8*'Rate Card'!$G$8+$B8*'Rate Card'!$H$8)*(1+'Rate Card'!$B$17+'Rate Card'!$B$18))</f>
        <v/>
      </c>
      <c r="L8" s="18">
        <f>MAX('Rate Card'!$B$19,('Rate Card'!$B$9+$A8*'Rate Card'!$C$9+$B8*'Rate Card'!$D$9)*(1+'Rate Card'!$B$17+'Rate Card'!$B$18))</f>
        <v/>
      </c>
      <c r="M8" s="18">
        <f>MAX('Rate Card'!$B$19,('Rate Card'!$B$9+$A8*'Rate Card'!$E$9+$B8*'Rate Card'!$F$9)*(1+'Rate Card'!$B$17+'Rate Card'!$B$18))</f>
        <v/>
      </c>
      <c r="N8" s="18">
        <f>MAX('Rate Card'!$B$19,('Rate Card'!$B$9+$A8*'Rate Card'!$G$9+$B8*'Rate Card'!$H$9)*(1+'Rate Card'!$B$17+'Rate Card'!$B$18))</f>
        <v/>
      </c>
      <c r="O8" s="18">
        <f>MAX('Rate Card'!$B$19,('Rate Card'!$B$10+$A8*'Rate Card'!$C$10+$B8*'Rate Card'!$D$10)*(1+'Rate Card'!$B$17+'Rate Card'!$B$18))</f>
        <v/>
      </c>
      <c r="P8" s="18">
        <f>MAX('Rate Card'!$B$19,('Rate Card'!$B$10+$A8*'Rate Card'!$E$10+$B8*'Rate Card'!$F$10)*(1+'Rate Card'!$B$17+'Rate Card'!$B$18))</f>
        <v/>
      </c>
      <c r="Q8" s="18">
        <f>MAX('Rate Card'!$B$19,('Rate Card'!$B$10+$A8*'Rate Card'!$G$10+$B8*'Rate Card'!$H$10)*(1+'Rate Card'!$B$17+'Rate Card'!$B$18))</f>
        <v/>
      </c>
    </row>
    <row r="9">
      <c r="A9" s="16" t="n">
        <v>14</v>
      </c>
      <c r="B9" s="19">
        <f>ROUND($A9*'Rate Card'!$B$22,0)</f>
        <v/>
      </c>
      <c r="C9" s="18">
        <f>MAX('Rate Card'!$B$19,('Rate Card'!$B$6+$A9*'Rate Card'!$C$6+$B9*'Rate Card'!$D$6)*(1+'Rate Card'!$B$17+'Rate Card'!$B$18))</f>
        <v/>
      </c>
      <c r="D9" s="18">
        <f>MAX('Rate Card'!$B$19,('Rate Card'!$B$6+$A9*'Rate Card'!$E$6+$B9*'Rate Card'!$F$6)*(1+'Rate Card'!$B$17+'Rate Card'!$B$18))</f>
        <v/>
      </c>
      <c r="E9" s="18">
        <f>MAX('Rate Card'!$B$19,('Rate Card'!$B$6+$A9*'Rate Card'!$G$6+$B9*'Rate Card'!$H$6)*(1+'Rate Card'!$B$17+'Rate Card'!$B$18))</f>
        <v/>
      </c>
      <c r="F9" s="18">
        <f>MAX('Rate Card'!$B$19,('Rate Card'!$B$7+$A9*'Rate Card'!$C$7+$B9*'Rate Card'!$D$7)*(1+'Rate Card'!$B$17+'Rate Card'!$B$18))</f>
        <v/>
      </c>
      <c r="G9" s="18">
        <f>MAX('Rate Card'!$B$19,('Rate Card'!$B$7+$A9*'Rate Card'!$E$7+$B9*'Rate Card'!$F$7)*(1+'Rate Card'!$B$17+'Rate Card'!$B$18))</f>
        <v/>
      </c>
      <c r="H9" s="18">
        <f>MAX('Rate Card'!$B$19,('Rate Card'!$B$7+$A9*'Rate Card'!$G$7+$B9*'Rate Card'!$H$7)*(1+'Rate Card'!$B$17+'Rate Card'!$B$18))</f>
        <v/>
      </c>
      <c r="I9" s="18">
        <f>MAX('Rate Card'!$B$19,('Rate Card'!$B$8+$A9*'Rate Card'!$C$8+$B9*'Rate Card'!$D$8)*(1+'Rate Card'!$B$17+'Rate Card'!$B$18))</f>
        <v/>
      </c>
      <c r="J9" s="18">
        <f>MAX('Rate Card'!$B$19,('Rate Card'!$B$8+$A9*'Rate Card'!$E$8+$B9*'Rate Card'!$F$8)*(1+'Rate Card'!$B$17+'Rate Card'!$B$18))</f>
        <v/>
      </c>
      <c r="K9" s="18">
        <f>MAX('Rate Card'!$B$19,('Rate Card'!$B$8+$A9*'Rate Card'!$G$8+$B9*'Rate Card'!$H$8)*(1+'Rate Card'!$B$17+'Rate Card'!$B$18))</f>
        <v/>
      </c>
      <c r="L9" s="18">
        <f>MAX('Rate Card'!$B$19,('Rate Card'!$B$9+$A9*'Rate Card'!$C$9+$B9*'Rate Card'!$D$9)*(1+'Rate Card'!$B$17+'Rate Card'!$B$18))</f>
        <v/>
      </c>
      <c r="M9" s="18">
        <f>MAX('Rate Card'!$B$19,('Rate Card'!$B$9+$A9*'Rate Card'!$E$9+$B9*'Rate Card'!$F$9)*(1+'Rate Card'!$B$17+'Rate Card'!$B$18))</f>
        <v/>
      </c>
      <c r="N9" s="18">
        <f>MAX('Rate Card'!$B$19,('Rate Card'!$B$9+$A9*'Rate Card'!$G$9+$B9*'Rate Card'!$H$9)*(1+'Rate Card'!$B$17+'Rate Card'!$B$18))</f>
        <v/>
      </c>
      <c r="O9" s="18">
        <f>MAX('Rate Card'!$B$19,('Rate Card'!$B$10+$A9*'Rate Card'!$C$10+$B9*'Rate Card'!$D$10)*(1+'Rate Card'!$B$17+'Rate Card'!$B$18))</f>
        <v/>
      </c>
      <c r="P9" s="18">
        <f>MAX('Rate Card'!$B$19,('Rate Card'!$B$10+$A9*'Rate Card'!$E$10+$B9*'Rate Card'!$F$10)*(1+'Rate Card'!$B$17+'Rate Card'!$B$18))</f>
        <v/>
      </c>
      <c r="Q9" s="18">
        <f>MAX('Rate Card'!$B$19,('Rate Card'!$B$10+$A9*'Rate Card'!$G$10+$B9*'Rate Card'!$H$10)*(1+'Rate Card'!$B$17+'Rate Card'!$B$18))</f>
        <v/>
      </c>
    </row>
    <row r="10">
      <c r="A10" s="16" t="n">
        <v>16</v>
      </c>
      <c r="B10" s="19">
        <f>ROUND($A10*'Rate Card'!$B$22,0)</f>
        <v/>
      </c>
      <c r="C10" s="18">
        <f>MAX('Rate Card'!$B$19,('Rate Card'!$B$6+$A10*'Rate Card'!$C$6+$B10*'Rate Card'!$D$6)*(1+'Rate Card'!$B$17+'Rate Card'!$B$18))</f>
        <v/>
      </c>
      <c r="D10" s="18">
        <f>MAX('Rate Card'!$B$19,('Rate Card'!$B$6+$A10*'Rate Card'!$E$6+$B10*'Rate Card'!$F$6)*(1+'Rate Card'!$B$17+'Rate Card'!$B$18))</f>
        <v/>
      </c>
      <c r="E10" s="18">
        <f>MAX('Rate Card'!$B$19,('Rate Card'!$B$6+$A10*'Rate Card'!$G$6+$B10*'Rate Card'!$H$6)*(1+'Rate Card'!$B$17+'Rate Card'!$B$18))</f>
        <v/>
      </c>
      <c r="F10" s="18">
        <f>MAX('Rate Card'!$B$19,('Rate Card'!$B$7+$A10*'Rate Card'!$C$7+$B10*'Rate Card'!$D$7)*(1+'Rate Card'!$B$17+'Rate Card'!$B$18))</f>
        <v/>
      </c>
      <c r="G10" s="18">
        <f>MAX('Rate Card'!$B$19,('Rate Card'!$B$7+$A10*'Rate Card'!$E$7+$B10*'Rate Card'!$F$7)*(1+'Rate Card'!$B$17+'Rate Card'!$B$18))</f>
        <v/>
      </c>
      <c r="H10" s="18">
        <f>MAX('Rate Card'!$B$19,('Rate Card'!$B$7+$A10*'Rate Card'!$G$7+$B10*'Rate Card'!$H$7)*(1+'Rate Card'!$B$17+'Rate Card'!$B$18))</f>
        <v/>
      </c>
      <c r="I10" s="18">
        <f>MAX('Rate Card'!$B$19,('Rate Card'!$B$8+$A10*'Rate Card'!$C$8+$B10*'Rate Card'!$D$8)*(1+'Rate Card'!$B$17+'Rate Card'!$B$18))</f>
        <v/>
      </c>
      <c r="J10" s="18">
        <f>MAX('Rate Card'!$B$19,('Rate Card'!$B$8+$A10*'Rate Card'!$E$8+$B10*'Rate Card'!$F$8)*(1+'Rate Card'!$B$17+'Rate Card'!$B$18))</f>
        <v/>
      </c>
      <c r="K10" s="18">
        <f>MAX('Rate Card'!$B$19,('Rate Card'!$B$8+$A10*'Rate Card'!$G$8+$B10*'Rate Card'!$H$8)*(1+'Rate Card'!$B$17+'Rate Card'!$B$18))</f>
        <v/>
      </c>
      <c r="L10" s="18">
        <f>MAX('Rate Card'!$B$19,('Rate Card'!$B$9+$A10*'Rate Card'!$C$9+$B10*'Rate Card'!$D$9)*(1+'Rate Card'!$B$17+'Rate Card'!$B$18))</f>
        <v/>
      </c>
      <c r="M10" s="18">
        <f>MAX('Rate Card'!$B$19,('Rate Card'!$B$9+$A10*'Rate Card'!$E$9+$B10*'Rate Card'!$F$9)*(1+'Rate Card'!$B$17+'Rate Card'!$B$18))</f>
        <v/>
      </c>
      <c r="N10" s="18">
        <f>MAX('Rate Card'!$B$19,('Rate Card'!$B$9+$A10*'Rate Card'!$G$9+$B10*'Rate Card'!$H$9)*(1+'Rate Card'!$B$17+'Rate Card'!$B$18))</f>
        <v/>
      </c>
      <c r="O10" s="18">
        <f>MAX('Rate Card'!$B$19,('Rate Card'!$B$10+$A10*'Rate Card'!$C$10+$B10*'Rate Card'!$D$10)*(1+'Rate Card'!$B$17+'Rate Card'!$B$18))</f>
        <v/>
      </c>
      <c r="P10" s="18">
        <f>MAX('Rate Card'!$B$19,('Rate Card'!$B$10+$A10*'Rate Card'!$E$10+$B10*'Rate Card'!$F$10)*(1+'Rate Card'!$B$17+'Rate Card'!$B$18))</f>
        <v/>
      </c>
      <c r="Q10" s="18">
        <f>MAX('Rate Card'!$B$19,('Rate Card'!$B$10+$A10*'Rate Card'!$G$10+$B10*'Rate Card'!$H$10)*(1+'Rate Card'!$B$17+'Rate Card'!$B$18))</f>
        <v/>
      </c>
    </row>
    <row r="11">
      <c r="A11" s="16" t="n">
        <v>18</v>
      </c>
      <c r="B11" s="19">
        <f>ROUND($A11*'Rate Card'!$B$22,0)</f>
        <v/>
      </c>
      <c r="C11" s="18">
        <f>MAX('Rate Card'!$B$19,('Rate Card'!$B$6+$A11*'Rate Card'!$C$6+$B11*'Rate Card'!$D$6)*(1+'Rate Card'!$B$17+'Rate Card'!$B$18))</f>
        <v/>
      </c>
      <c r="D11" s="18">
        <f>MAX('Rate Card'!$B$19,('Rate Card'!$B$6+$A11*'Rate Card'!$E$6+$B11*'Rate Card'!$F$6)*(1+'Rate Card'!$B$17+'Rate Card'!$B$18))</f>
        <v/>
      </c>
      <c r="E11" s="18">
        <f>MAX('Rate Card'!$B$19,('Rate Card'!$B$6+$A11*'Rate Card'!$G$6+$B11*'Rate Card'!$H$6)*(1+'Rate Card'!$B$17+'Rate Card'!$B$18))</f>
        <v/>
      </c>
      <c r="F11" s="18">
        <f>MAX('Rate Card'!$B$19,('Rate Card'!$B$7+$A11*'Rate Card'!$C$7+$B11*'Rate Card'!$D$7)*(1+'Rate Card'!$B$17+'Rate Card'!$B$18))</f>
        <v/>
      </c>
      <c r="G11" s="18">
        <f>MAX('Rate Card'!$B$19,('Rate Card'!$B$7+$A11*'Rate Card'!$E$7+$B11*'Rate Card'!$F$7)*(1+'Rate Card'!$B$17+'Rate Card'!$B$18))</f>
        <v/>
      </c>
      <c r="H11" s="18">
        <f>MAX('Rate Card'!$B$19,('Rate Card'!$B$7+$A11*'Rate Card'!$G$7+$B11*'Rate Card'!$H$7)*(1+'Rate Card'!$B$17+'Rate Card'!$B$18))</f>
        <v/>
      </c>
      <c r="I11" s="18">
        <f>MAX('Rate Card'!$B$19,('Rate Card'!$B$8+$A11*'Rate Card'!$C$8+$B11*'Rate Card'!$D$8)*(1+'Rate Card'!$B$17+'Rate Card'!$B$18))</f>
        <v/>
      </c>
      <c r="J11" s="18">
        <f>MAX('Rate Card'!$B$19,('Rate Card'!$B$8+$A11*'Rate Card'!$E$8+$B11*'Rate Card'!$F$8)*(1+'Rate Card'!$B$17+'Rate Card'!$B$18))</f>
        <v/>
      </c>
      <c r="K11" s="18">
        <f>MAX('Rate Card'!$B$19,('Rate Card'!$B$8+$A11*'Rate Card'!$G$8+$B11*'Rate Card'!$H$8)*(1+'Rate Card'!$B$17+'Rate Card'!$B$18))</f>
        <v/>
      </c>
      <c r="L11" s="18">
        <f>MAX('Rate Card'!$B$19,('Rate Card'!$B$9+$A11*'Rate Card'!$C$9+$B11*'Rate Card'!$D$9)*(1+'Rate Card'!$B$17+'Rate Card'!$B$18))</f>
        <v/>
      </c>
      <c r="M11" s="18">
        <f>MAX('Rate Card'!$B$19,('Rate Card'!$B$9+$A11*'Rate Card'!$E$9+$B11*'Rate Card'!$F$9)*(1+'Rate Card'!$B$17+'Rate Card'!$B$18))</f>
        <v/>
      </c>
      <c r="N11" s="18">
        <f>MAX('Rate Card'!$B$19,('Rate Card'!$B$9+$A11*'Rate Card'!$G$9+$B11*'Rate Card'!$H$9)*(1+'Rate Card'!$B$17+'Rate Card'!$B$18))</f>
        <v/>
      </c>
      <c r="O11" s="18">
        <f>MAX('Rate Card'!$B$19,('Rate Card'!$B$10+$A11*'Rate Card'!$C$10+$B11*'Rate Card'!$D$10)*(1+'Rate Card'!$B$17+'Rate Card'!$B$18))</f>
        <v/>
      </c>
      <c r="P11" s="18">
        <f>MAX('Rate Card'!$B$19,('Rate Card'!$B$10+$A11*'Rate Card'!$E$10+$B11*'Rate Card'!$F$10)*(1+'Rate Card'!$B$17+'Rate Card'!$B$18))</f>
        <v/>
      </c>
      <c r="Q11" s="18">
        <f>MAX('Rate Card'!$B$19,('Rate Card'!$B$10+$A11*'Rate Card'!$G$10+$B11*'Rate Card'!$H$10)*(1+'Rate Card'!$B$17+'Rate Card'!$B$18))</f>
        <v/>
      </c>
    </row>
    <row r="12">
      <c r="A12" s="16" t="n">
        <v>20</v>
      </c>
      <c r="B12" s="19">
        <f>ROUND($A12*'Rate Card'!$B$22,0)</f>
        <v/>
      </c>
      <c r="C12" s="18">
        <f>MAX('Rate Card'!$B$19,('Rate Card'!$B$6+$A12*'Rate Card'!$C$6+$B12*'Rate Card'!$D$6)*(1+'Rate Card'!$B$17+'Rate Card'!$B$18))</f>
        <v/>
      </c>
      <c r="D12" s="18">
        <f>MAX('Rate Card'!$B$19,('Rate Card'!$B$6+$A12*'Rate Card'!$E$6+$B12*'Rate Card'!$F$6)*(1+'Rate Card'!$B$17+'Rate Card'!$B$18))</f>
        <v/>
      </c>
      <c r="E12" s="18">
        <f>MAX('Rate Card'!$B$19,('Rate Card'!$B$6+$A12*'Rate Card'!$G$6+$B12*'Rate Card'!$H$6)*(1+'Rate Card'!$B$17+'Rate Card'!$B$18))</f>
        <v/>
      </c>
      <c r="F12" s="18">
        <f>MAX('Rate Card'!$B$19,('Rate Card'!$B$7+$A12*'Rate Card'!$C$7+$B12*'Rate Card'!$D$7)*(1+'Rate Card'!$B$17+'Rate Card'!$B$18))</f>
        <v/>
      </c>
      <c r="G12" s="18">
        <f>MAX('Rate Card'!$B$19,('Rate Card'!$B$7+$A12*'Rate Card'!$E$7+$B12*'Rate Card'!$F$7)*(1+'Rate Card'!$B$17+'Rate Card'!$B$18))</f>
        <v/>
      </c>
      <c r="H12" s="18">
        <f>MAX('Rate Card'!$B$19,('Rate Card'!$B$7+$A12*'Rate Card'!$G$7+$B12*'Rate Card'!$H$7)*(1+'Rate Card'!$B$17+'Rate Card'!$B$18))</f>
        <v/>
      </c>
      <c r="I12" s="18">
        <f>MAX('Rate Card'!$B$19,('Rate Card'!$B$8+$A12*'Rate Card'!$C$8+$B12*'Rate Card'!$D$8)*(1+'Rate Card'!$B$17+'Rate Card'!$B$18))</f>
        <v/>
      </c>
      <c r="J12" s="18">
        <f>MAX('Rate Card'!$B$19,('Rate Card'!$B$8+$A12*'Rate Card'!$E$8+$B12*'Rate Card'!$F$8)*(1+'Rate Card'!$B$17+'Rate Card'!$B$18))</f>
        <v/>
      </c>
      <c r="K12" s="18">
        <f>MAX('Rate Card'!$B$19,('Rate Card'!$B$8+$A12*'Rate Card'!$G$8+$B12*'Rate Card'!$H$8)*(1+'Rate Card'!$B$17+'Rate Card'!$B$18))</f>
        <v/>
      </c>
      <c r="L12" s="18">
        <f>MAX('Rate Card'!$B$19,('Rate Card'!$B$9+$A12*'Rate Card'!$C$9+$B12*'Rate Card'!$D$9)*(1+'Rate Card'!$B$17+'Rate Card'!$B$18))</f>
        <v/>
      </c>
      <c r="M12" s="18">
        <f>MAX('Rate Card'!$B$19,('Rate Card'!$B$9+$A12*'Rate Card'!$E$9+$B12*'Rate Card'!$F$9)*(1+'Rate Card'!$B$17+'Rate Card'!$B$18))</f>
        <v/>
      </c>
      <c r="N12" s="18">
        <f>MAX('Rate Card'!$B$19,('Rate Card'!$B$9+$A12*'Rate Card'!$G$9+$B12*'Rate Card'!$H$9)*(1+'Rate Card'!$B$17+'Rate Card'!$B$18))</f>
        <v/>
      </c>
      <c r="O12" s="18">
        <f>MAX('Rate Card'!$B$19,('Rate Card'!$B$10+$A12*'Rate Card'!$C$10+$B12*'Rate Card'!$D$10)*(1+'Rate Card'!$B$17+'Rate Card'!$B$18))</f>
        <v/>
      </c>
      <c r="P12" s="18">
        <f>MAX('Rate Card'!$B$19,('Rate Card'!$B$10+$A12*'Rate Card'!$E$10+$B12*'Rate Card'!$F$10)*(1+'Rate Card'!$B$17+'Rate Card'!$B$18))</f>
        <v/>
      </c>
      <c r="Q12" s="18">
        <f>MAX('Rate Card'!$B$19,('Rate Card'!$B$10+$A12*'Rate Card'!$G$10+$B12*'Rate Card'!$H$10)*(1+'Rate Card'!$B$17+'Rate Card'!$B$18))</f>
        <v/>
      </c>
    </row>
    <row r="13">
      <c r="A13" s="16" t="n">
        <v>22</v>
      </c>
      <c r="B13" s="19">
        <f>ROUND($A13*'Rate Card'!$B$22,0)</f>
        <v/>
      </c>
      <c r="C13" s="18">
        <f>MAX('Rate Card'!$B$19,('Rate Card'!$B$6+$A13*'Rate Card'!$C$6+$B13*'Rate Card'!$D$6)*(1+'Rate Card'!$B$17+'Rate Card'!$B$18))</f>
        <v/>
      </c>
      <c r="D13" s="18">
        <f>MAX('Rate Card'!$B$19,('Rate Card'!$B$6+$A13*'Rate Card'!$E$6+$B13*'Rate Card'!$F$6)*(1+'Rate Card'!$B$17+'Rate Card'!$B$18))</f>
        <v/>
      </c>
      <c r="E13" s="18">
        <f>MAX('Rate Card'!$B$19,('Rate Card'!$B$6+$A13*'Rate Card'!$G$6+$B13*'Rate Card'!$H$6)*(1+'Rate Card'!$B$17+'Rate Card'!$B$18))</f>
        <v/>
      </c>
      <c r="F13" s="18">
        <f>MAX('Rate Card'!$B$19,('Rate Card'!$B$7+$A13*'Rate Card'!$C$7+$B13*'Rate Card'!$D$7)*(1+'Rate Card'!$B$17+'Rate Card'!$B$18))</f>
        <v/>
      </c>
      <c r="G13" s="18">
        <f>MAX('Rate Card'!$B$19,('Rate Card'!$B$7+$A13*'Rate Card'!$E$7+$B13*'Rate Card'!$F$7)*(1+'Rate Card'!$B$17+'Rate Card'!$B$18))</f>
        <v/>
      </c>
      <c r="H13" s="18">
        <f>MAX('Rate Card'!$B$19,('Rate Card'!$B$7+$A13*'Rate Card'!$G$7+$B13*'Rate Card'!$H$7)*(1+'Rate Card'!$B$17+'Rate Card'!$B$18))</f>
        <v/>
      </c>
      <c r="I13" s="18">
        <f>MAX('Rate Card'!$B$19,('Rate Card'!$B$8+$A13*'Rate Card'!$C$8+$B13*'Rate Card'!$D$8)*(1+'Rate Card'!$B$17+'Rate Card'!$B$18))</f>
        <v/>
      </c>
      <c r="J13" s="18">
        <f>MAX('Rate Card'!$B$19,('Rate Card'!$B$8+$A13*'Rate Card'!$E$8+$B13*'Rate Card'!$F$8)*(1+'Rate Card'!$B$17+'Rate Card'!$B$18))</f>
        <v/>
      </c>
      <c r="K13" s="18">
        <f>MAX('Rate Card'!$B$19,('Rate Card'!$B$8+$A13*'Rate Card'!$G$8+$B13*'Rate Card'!$H$8)*(1+'Rate Card'!$B$17+'Rate Card'!$B$18))</f>
        <v/>
      </c>
      <c r="L13" s="18">
        <f>MAX('Rate Card'!$B$19,('Rate Card'!$B$9+$A13*'Rate Card'!$C$9+$B13*'Rate Card'!$D$9)*(1+'Rate Card'!$B$17+'Rate Card'!$B$18))</f>
        <v/>
      </c>
      <c r="M13" s="18">
        <f>MAX('Rate Card'!$B$19,('Rate Card'!$B$9+$A13*'Rate Card'!$E$9+$B13*'Rate Card'!$F$9)*(1+'Rate Card'!$B$17+'Rate Card'!$B$18))</f>
        <v/>
      </c>
      <c r="N13" s="18">
        <f>MAX('Rate Card'!$B$19,('Rate Card'!$B$9+$A13*'Rate Card'!$G$9+$B13*'Rate Card'!$H$9)*(1+'Rate Card'!$B$17+'Rate Card'!$B$18))</f>
        <v/>
      </c>
      <c r="O13" s="18">
        <f>MAX('Rate Card'!$B$19,('Rate Card'!$B$10+$A13*'Rate Card'!$C$10+$B13*'Rate Card'!$D$10)*(1+'Rate Card'!$B$17+'Rate Card'!$B$18))</f>
        <v/>
      </c>
      <c r="P13" s="18">
        <f>MAX('Rate Card'!$B$19,('Rate Card'!$B$10+$A13*'Rate Card'!$E$10+$B13*'Rate Card'!$F$10)*(1+'Rate Card'!$B$17+'Rate Card'!$B$18))</f>
        <v/>
      </c>
      <c r="Q13" s="18">
        <f>MAX('Rate Card'!$B$19,('Rate Card'!$B$10+$A13*'Rate Card'!$G$10+$B13*'Rate Card'!$H$10)*(1+'Rate Card'!$B$17+'Rate Card'!$B$18))</f>
        <v/>
      </c>
    </row>
    <row r="14">
      <c r="A14" s="16" t="n">
        <v>24</v>
      </c>
      <c r="B14" s="19">
        <f>ROUND($A14*'Rate Card'!$B$22,0)</f>
        <v/>
      </c>
      <c r="C14" s="18">
        <f>MAX('Rate Card'!$B$19,('Rate Card'!$B$6+$A14*'Rate Card'!$C$6+$B14*'Rate Card'!$D$6)*(1+'Rate Card'!$B$17+'Rate Card'!$B$18))</f>
        <v/>
      </c>
      <c r="D14" s="18">
        <f>MAX('Rate Card'!$B$19,('Rate Card'!$B$6+$A14*'Rate Card'!$E$6+$B14*'Rate Card'!$F$6)*(1+'Rate Card'!$B$17+'Rate Card'!$B$18))</f>
        <v/>
      </c>
      <c r="E14" s="18">
        <f>MAX('Rate Card'!$B$19,('Rate Card'!$B$6+$A14*'Rate Card'!$G$6+$B14*'Rate Card'!$H$6)*(1+'Rate Card'!$B$17+'Rate Card'!$B$18))</f>
        <v/>
      </c>
      <c r="F14" s="18">
        <f>MAX('Rate Card'!$B$19,('Rate Card'!$B$7+$A14*'Rate Card'!$C$7+$B14*'Rate Card'!$D$7)*(1+'Rate Card'!$B$17+'Rate Card'!$B$18))</f>
        <v/>
      </c>
      <c r="G14" s="18">
        <f>MAX('Rate Card'!$B$19,('Rate Card'!$B$7+$A14*'Rate Card'!$E$7+$B14*'Rate Card'!$F$7)*(1+'Rate Card'!$B$17+'Rate Card'!$B$18))</f>
        <v/>
      </c>
      <c r="H14" s="18">
        <f>MAX('Rate Card'!$B$19,('Rate Card'!$B$7+$A14*'Rate Card'!$G$7+$B14*'Rate Card'!$H$7)*(1+'Rate Card'!$B$17+'Rate Card'!$B$18))</f>
        <v/>
      </c>
      <c r="I14" s="18">
        <f>MAX('Rate Card'!$B$19,('Rate Card'!$B$8+$A14*'Rate Card'!$C$8+$B14*'Rate Card'!$D$8)*(1+'Rate Card'!$B$17+'Rate Card'!$B$18))</f>
        <v/>
      </c>
      <c r="J14" s="18">
        <f>MAX('Rate Card'!$B$19,('Rate Card'!$B$8+$A14*'Rate Card'!$E$8+$B14*'Rate Card'!$F$8)*(1+'Rate Card'!$B$17+'Rate Card'!$B$18))</f>
        <v/>
      </c>
      <c r="K14" s="18">
        <f>MAX('Rate Card'!$B$19,('Rate Card'!$B$8+$A14*'Rate Card'!$G$8+$B14*'Rate Card'!$H$8)*(1+'Rate Card'!$B$17+'Rate Card'!$B$18))</f>
        <v/>
      </c>
      <c r="L14" s="18">
        <f>MAX('Rate Card'!$B$19,('Rate Card'!$B$9+$A14*'Rate Card'!$C$9+$B14*'Rate Card'!$D$9)*(1+'Rate Card'!$B$17+'Rate Card'!$B$18))</f>
        <v/>
      </c>
      <c r="M14" s="18">
        <f>MAX('Rate Card'!$B$19,('Rate Card'!$B$9+$A14*'Rate Card'!$E$9+$B14*'Rate Card'!$F$9)*(1+'Rate Card'!$B$17+'Rate Card'!$B$18))</f>
        <v/>
      </c>
      <c r="N14" s="18">
        <f>MAX('Rate Card'!$B$19,('Rate Card'!$B$9+$A14*'Rate Card'!$G$9+$B14*'Rate Card'!$H$9)*(1+'Rate Card'!$B$17+'Rate Card'!$B$18))</f>
        <v/>
      </c>
      <c r="O14" s="18">
        <f>MAX('Rate Card'!$B$19,('Rate Card'!$B$10+$A14*'Rate Card'!$C$10+$B14*'Rate Card'!$D$10)*(1+'Rate Card'!$B$17+'Rate Card'!$B$18))</f>
        <v/>
      </c>
      <c r="P14" s="18">
        <f>MAX('Rate Card'!$B$19,('Rate Card'!$B$10+$A14*'Rate Card'!$E$10+$B14*'Rate Card'!$F$10)*(1+'Rate Card'!$B$17+'Rate Card'!$B$18))</f>
        <v/>
      </c>
      <c r="Q14" s="18">
        <f>MAX('Rate Card'!$B$19,('Rate Card'!$B$10+$A14*'Rate Card'!$G$10+$B14*'Rate Card'!$H$10)*(1+'Rate Card'!$B$17+'Rate Card'!$B$18))</f>
        <v/>
      </c>
    </row>
    <row r="15">
      <c r="A15" s="16" t="n">
        <v>26</v>
      </c>
      <c r="B15" s="19">
        <f>ROUND($A15*'Rate Card'!$B$22,0)</f>
        <v/>
      </c>
      <c r="C15" s="18">
        <f>MAX('Rate Card'!$B$19,('Rate Card'!$B$6+$A15*'Rate Card'!$C$6+$B15*'Rate Card'!$D$6)*(1+'Rate Card'!$B$17+'Rate Card'!$B$18))</f>
        <v/>
      </c>
      <c r="D15" s="18">
        <f>MAX('Rate Card'!$B$19,('Rate Card'!$B$6+$A15*'Rate Card'!$E$6+$B15*'Rate Card'!$F$6)*(1+'Rate Card'!$B$17+'Rate Card'!$B$18))</f>
        <v/>
      </c>
      <c r="E15" s="18">
        <f>MAX('Rate Card'!$B$19,('Rate Card'!$B$6+$A15*'Rate Card'!$G$6+$B15*'Rate Card'!$H$6)*(1+'Rate Card'!$B$17+'Rate Card'!$B$18))</f>
        <v/>
      </c>
      <c r="F15" s="18">
        <f>MAX('Rate Card'!$B$19,('Rate Card'!$B$7+$A15*'Rate Card'!$C$7+$B15*'Rate Card'!$D$7)*(1+'Rate Card'!$B$17+'Rate Card'!$B$18))</f>
        <v/>
      </c>
      <c r="G15" s="18">
        <f>MAX('Rate Card'!$B$19,('Rate Card'!$B$7+$A15*'Rate Card'!$E$7+$B15*'Rate Card'!$F$7)*(1+'Rate Card'!$B$17+'Rate Card'!$B$18))</f>
        <v/>
      </c>
      <c r="H15" s="18">
        <f>MAX('Rate Card'!$B$19,('Rate Card'!$B$7+$A15*'Rate Card'!$G$7+$B15*'Rate Card'!$H$7)*(1+'Rate Card'!$B$17+'Rate Card'!$B$18))</f>
        <v/>
      </c>
      <c r="I15" s="18">
        <f>MAX('Rate Card'!$B$19,('Rate Card'!$B$8+$A15*'Rate Card'!$C$8+$B15*'Rate Card'!$D$8)*(1+'Rate Card'!$B$17+'Rate Card'!$B$18))</f>
        <v/>
      </c>
      <c r="J15" s="18">
        <f>MAX('Rate Card'!$B$19,('Rate Card'!$B$8+$A15*'Rate Card'!$E$8+$B15*'Rate Card'!$F$8)*(1+'Rate Card'!$B$17+'Rate Card'!$B$18))</f>
        <v/>
      </c>
      <c r="K15" s="18">
        <f>MAX('Rate Card'!$B$19,('Rate Card'!$B$8+$A15*'Rate Card'!$G$8+$B15*'Rate Card'!$H$8)*(1+'Rate Card'!$B$17+'Rate Card'!$B$18))</f>
        <v/>
      </c>
      <c r="L15" s="18">
        <f>MAX('Rate Card'!$B$19,('Rate Card'!$B$9+$A15*'Rate Card'!$C$9+$B15*'Rate Card'!$D$9)*(1+'Rate Card'!$B$17+'Rate Card'!$B$18))</f>
        <v/>
      </c>
      <c r="M15" s="18">
        <f>MAX('Rate Card'!$B$19,('Rate Card'!$B$9+$A15*'Rate Card'!$E$9+$B15*'Rate Card'!$F$9)*(1+'Rate Card'!$B$17+'Rate Card'!$B$18))</f>
        <v/>
      </c>
      <c r="N15" s="18">
        <f>MAX('Rate Card'!$B$19,('Rate Card'!$B$9+$A15*'Rate Card'!$G$9+$B15*'Rate Card'!$H$9)*(1+'Rate Card'!$B$17+'Rate Card'!$B$18))</f>
        <v/>
      </c>
      <c r="O15" s="18">
        <f>MAX('Rate Card'!$B$19,('Rate Card'!$B$10+$A15*'Rate Card'!$C$10+$B15*'Rate Card'!$D$10)*(1+'Rate Card'!$B$17+'Rate Card'!$B$18))</f>
        <v/>
      </c>
      <c r="P15" s="18">
        <f>MAX('Rate Card'!$B$19,('Rate Card'!$B$10+$A15*'Rate Card'!$E$10+$B15*'Rate Card'!$F$10)*(1+'Rate Card'!$B$17+'Rate Card'!$B$18))</f>
        <v/>
      </c>
      <c r="Q15" s="18">
        <f>MAX('Rate Card'!$B$19,('Rate Card'!$B$10+$A15*'Rate Card'!$G$10+$B15*'Rate Card'!$H$10)*(1+'Rate Card'!$B$17+'Rate Card'!$B$18))</f>
        <v/>
      </c>
    </row>
    <row r="16">
      <c r="A16" s="16" t="n">
        <v>28</v>
      </c>
      <c r="B16" s="19">
        <f>ROUND($A16*'Rate Card'!$B$22,0)</f>
        <v/>
      </c>
      <c r="C16" s="18">
        <f>MAX('Rate Card'!$B$19,('Rate Card'!$B$6+$A16*'Rate Card'!$C$6+$B16*'Rate Card'!$D$6)*(1+'Rate Card'!$B$17+'Rate Card'!$B$18))</f>
        <v/>
      </c>
      <c r="D16" s="18">
        <f>MAX('Rate Card'!$B$19,('Rate Card'!$B$6+$A16*'Rate Card'!$E$6+$B16*'Rate Card'!$F$6)*(1+'Rate Card'!$B$17+'Rate Card'!$B$18))</f>
        <v/>
      </c>
      <c r="E16" s="18">
        <f>MAX('Rate Card'!$B$19,('Rate Card'!$B$6+$A16*'Rate Card'!$G$6+$B16*'Rate Card'!$H$6)*(1+'Rate Card'!$B$17+'Rate Card'!$B$18))</f>
        <v/>
      </c>
      <c r="F16" s="18">
        <f>MAX('Rate Card'!$B$19,('Rate Card'!$B$7+$A16*'Rate Card'!$C$7+$B16*'Rate Card'!$D$7)*(1+'Rate Card'!$B$17+'Rate Card'!$B$18))</f>
        <v/>
      </c>
      <c r="G16" s="18">
        <f>MAX('Rate Card'!$B$19,('Rate Card'!$B$7+$A16*'Rate Card'!$E$7+$B16*'Rate Card'!$F$7)*(1+'Rate Card'!$B$17+'Rate Card'!$B$18))</f>
        <v/>
      </c>
      <c r="H16" s="18">
        <f>MAX('Rate Card'!$B$19,('Rate Card'!$B$7+$A16*'Rate Card'!$G$7+$B16*'Rate Card'!$H$7)*(1+'Rate Card'!$B$17+'Rate Card'!$B$18))</f>
        <v/>
      </c>
      <c r="I16" s="18">
        <f>MAX('Rate Card'!$B$19,('Rate Card'!$B$8+$A16*'Rate Card'!$C$8+$B16*'Rate Card'!$D$8)*(1+'Rate Card'!$B$17+'Rate Card'!$B$18))</f>
        <v/>
      </c>
      <c r="J16" s="18">
        <f>MAX('Rate Card'!$B$19,('Rate Card'!$B$8+$A16*'Rate Card'!$E$8+$B16*'Rate Card'!$F$8)*(1+'Rate Card'!$B$17+'Rate Card'!$B$18))</f>
        <v/>
      </c>
      <c r="K16" s="18">
        <f>MAX('Rate Card'!$B$19,('Rate Card'!$B$8+$A16*'Rate Card'!$G$8+$B16*'Rate Card'!$H$8)*(1+'Rate Card'!$B$17+'Rate Card'!$B$18))</f>
        <v/>
      </c>
      <c r="L16" s="18">
        <f>MAX('Rate Card'!$B$19,('Rate Card'!$B$9+$A16*'Rate Card'!$C$9+$B16*'Rate Card'!$D$9)*(1+'Rate Card'!$B$17+'Rate Card'!$B$18))</f>
        <v/>
      </c>
      <c r="M16" s="18">
        <f>MAX('Rate Card'!$B$19,('Rate Card'!$B$9+$A16*'Rate Card'!$E$9+$B16*'Rate Card'!$F$9)*(1+'Rate Card'!$B$17+'Rate Card'!$B$18))</f>
        <v/>
      </c>
      <c r="N16" s="18">
        <f>MAX('Rate Card'!$B$19,('Rate Card'!$B$9+$A16*'Rate Card'!$G$9+$B16*'Rate Card'!$H$9)*(1+'Rate Card'!$B$17+'Rate Card'!$B$18))</f>
        <v/>
      </c>
      <c r="O16" s="18">
        <f>MAX('Rate Card'!$B$19,('Rate Card'!$B$10+$A16*'Rate Card'!$C$10+$B16*'Rate Card'!$D$10)*(1+'Rate Card'!$B$17+'Rate Card'!$B$18))</f>
        <v/>
      </c>
      <c r="P16" s="18">
        <f>MAX('Rate Card'!$B$19,('Rate Card'!$B$10+$A16*'Rate Card'!$E$10+$B16*'Rate Card'!$F$10)*(1+'Rate Card'!$B$17+'Rate Card'!$B$18))</f>
        <v/>
      </c>
      <c r="Q16" s="18">
        <f>MAX('Rate Card'!$B$19,('Rate Card'!$B$10+$A16*'Rate Card'!$G$10+$B16*'Rate Card'!$H$10)*(1+'Rate Card'!$B$17+'Rate Card'!$B$18))</f>
        <v/>
      </c>
    </row>
    <row r="17">
      <c r="A17" s="16" t="n">
        <v>30</v>
      </c>
      <c r="B17" s="19">
        <f>ROUND($A17*'Rate Card'!$B$22,0)</f>
        <v/>
      </c>
      <c r="C17" s="18">
        <f>MAX('Rate Card'!$B$19,('Rate Card'!$B$6+$A17*'Rate Card'!$C$6+$B17*'Rate Card'!$D$6)*(1+'Rate Card'!$B$17+'Rate Card'!$B$18))</f>
        <v/>
      </c>
      <c r="D17" s="18">
        <f>MAX('Rate Card'!$B$19,('Rate Card'!$B$6+$A17*'Rate Card'!$E$6+$B17*'Rate Card'!$F$6)*(1+'Rate Card'!$B$17+'Rate Card'!$B$18))</f>
        <v/>
      </c>
      <c r="E17" s="18">
        <f>MAX('Rate Card'!$B$19,('Rate Card'!$B$6+$A17*'Rate Card'!$G$6+$B17*'Rate Card'!$H$6)*(1+'Rate Card'!$B$17+'Rate Card'!$B$18))</f>
        <v/>
      </c>
      <c r="F17" s="18">
        <f>MAX('Rate Card'!$B$19,('Rate Card'!$B$7+$A17*'Rate Card'!$C$7+$B17*'Rate Card'!$D$7)*(1+'Rate Card'!$B$17+'Rate Card'!$B$18))</f>
        <v/>
      </c>
      <c r="G17" s="18">
        <f>MAX('Rate Card'!$B$19,('Rate Card'!$B$7+$A17*'Rate Card'!$E$7+$B17*'Rate Card'!$F$7)*(1+'Rate Card'!$B$17+'Rate Card'!$B$18))</f>
        <v/>
      </c>
      <c r="H17" s="18">
        <f>MAX('Rate Card'!$B$19,('Rate Card'!$B$7+$A17*'Rate Card'!$G$7+$B17*'Rate Card'!$H$7)*(1+'Rate Card'!$B$17+'Rate Card'!$B$18))</f>
        <v/>
      </c>
      <c r="I17" s="18">
        <f>MAX('Rate Card'!$B$19,('Rate Card'!$B$8+$A17*'Rate Card'!$C$8+$B17*'Rate Card'!$D$8)*(1+'Rate Card'!$B$17+'Rate Card'!$B$18))</f>
        <v/>
      </c>
      <c r="J17" s="18">
        <f>MAX('Rate Card'!$B$19,('Rate Card'!$B$8+$A17*'Rate Card'!$E$8+$B17*'Rate Card'!$F$8)*(1+'Rate Card'!$B$17+'Rate Card'!$B$18))</f>
        <v/>
      </c>
      <c r="K17" s="18">
        <f>MAX('Rate Card'!$B$19,('Rate Card'!$B$8+$A17*'Rate Card'!$G$8+$B17*'Rate Card'!$H$8)*(1+'Rate Card'!$B$17+'Rate Card'!$B$18))</f>
        <v/>
      </c>
      <c r="L17" s="18">
        <f>MAX('Rate Card'!$B$19,('Rate Card'!$B$9+$A17*'Rate Card'!$C$9+$B17*'Rate Card'!$D$9)*(1+'Rate Card'!$B$17+'Rate Card'!$B$18))</f>
        <v/>
      </c>
      <c r="M17" s="18">
        <f>MAX('Rate Card'!$B$19,('Rate Card'!$B$9+$A17*'Rate Card'!$E$9+$B17*'Rate Card'!$F$9)*(1+'Rate Card'!$B$17+'Rate Card'!$B$18))</f>
        <v/>
      </c>
      <c r="N17" s="18">
        <f>MAX('Rate Card'!$B$19,('Rate Card'!$B$9+$A17*'Rate Card'!$G$9+$B17*'Rate Card'!$H$9)*(1+'Rate Card'!$B$17+'Rate Card'!$B$18))</f>
        <v/>
      </c>
      <c r="O17" s="18">
        <f>MAX('Rate Card'!$B$19,('Rate Card'!$B$10+$A17*'Rate Card'!$C$10+$B17*'Rate Card'!$D$10)*(1+'Rate Card'!$B$17+'Rate Card'!$B$18))</f>
        <v/>
      </c>
      <c r="P17" s="18">
        <f>MAX('Rate Card'!$B$19,('Rate Card'!$B$10+$A17*'Rate Card'!$E$10+$B17*'Rate Card'!$F$10)*(1+'Rate Card'!$B$17+'Rate Card'!$B$18))</f>
        <v/>
      </c>
      <c r="Q17" s="18">
        <f>MAX('Rate Card'!$B$19,('Rate Card'!$B$10+$A17*'Rate Card'!$G$10+$B17*'Rate Card'!$H$10)*(1+'Rate Card'!$B$17+'Rate Card'!$B$18))</f>
        <v/>
      </c>
    </row>
    <row r="18">
      <c r="A18" s="16" t="n">
        <v>32</v>
      </c>
      <c r="B18" s="19">
        <f>ROUND($A18*'Rate Card'!$B$22,0)</f>
        <v/>
      </c>
      <c r="C18" s="18">
        <f>MAX('Rate Card'!$B$19,('Rate Card'!$B$6+$A18*'Rate Card'!$C$6+$B18*'Rate Card'!$D$6)*(1+'Rate Card'!$B$17+'Rate Card'!$B$18))</f>
        <v/>
      </c>
      <c r="D18" s="18">
        <f>MAX('Rate Card'!$B$19,('Rate Card'!$B$6+$A18*'Rate Card'!$E$6+$B18*'Rate Card'!$F$6)*(1+'Rate Card'!$B$17+'Rate Card'!$B$18))</f>
        <v/>
      </c>
      <c r="E18" s="18">
        <f>MAX('Rate Card'!$B$19,('Rate Card'!$B$6+$A18*'Rate Card'!$G$6+$B18*'Rate Card'!$H$6)*(1+'Rate Card'!$B$17+'Rate Card'!$B$18))</f>
        <v/>
      </c>
      <c r="F18" s="18">
        <f>MAX('Rate Card'!$B$19,('Rate Card'!$B$7+$A18*'Rate Card'!$C$7+$B18*'Rate Card'!$D$7)*(1+'Rate Card'!$B$17+'Rate Card'!$B$18))</f>
        <v/>
      </c>
      <c r="G18" s="18">
        <f>MAX('Rate Card'!$B$19,('Rate Card'!$B$7+$A18*'Rate Card'!$E$7+$B18*'Rate Card'!$F$7)*(1+'Rate Card'!$B$17+'Rate Card'!$B$18))</f>
        <v/>
      </c>
      <c r="H18" s="18">
        <f>MAX('Rate Card'!$B$19,('Rate Card'!$B$7+$A18*'Rate Card'!$G$7+$B18*'Rate Card'!$H$7)*(1+'Rate Card'!$B$17+'Rate Card'!$B$18))</f>
        <v/>
      </c>
      <c r="I18" s="18">
        <f>MAX('Rate Card'!$B$19,('Rate Card'!$B$8+$A18*'Rate Card'!$C$8+$B18*'Rate Card'!$D$8)*(1+'Rate Card'!$B$17+'Rate Card'!$B$18))</f>
        <v/>
      </c>
      <c r="J18" s="18">
        <f>MAX('Rate Card'!$B$19,('Rate Card'!$B$8+$A18*'Rate Card'!$E$8+$B18*'Rate Card'!$F$8)*(1+'Rate Card'!$B$17+'Rate Card'!$B$18))</f>
        <v/>
      </c>
      <c r="K18" s="18">
        <f>MAX('Rate Card'!$B$19,('Rate Card'!$B$8+$A18*'Rate Card'!$G$8+$B18*'Rate Card'!$H$8)*(1+'Rate Card'!$B$17+'Rate Card'!$B$18))</f>
        <v/>
      </c>
      <c r="L18" s="18">
        <f>MAX('Rate Card'!$B$19,('Rate Card'!$B$9+$A18*'Rate Card'!$C$9+$B18*'Rate Card'!$D$9)*(1+'Rate Card'!$B$17+'Rate Card'!$B$18))</f>
        <v/>
      </c>
      <c r="M18" s="18">
        <f>MAX('Rate Card'!$B$19,('Rate Card'!$B$9+$A18*'Rate Card'!$E$9+$B18*'Rate Card'!$F$9)*(1+'Rate Card'!$B$17+'Rate Card'!$B$18))</f>
        <v/>
      </c>
      <c r="N18" s="18">
        <f>MAX('Rate Card'!$B$19,('Rate Card'!$B$9+$A18*'Rate Card'!$G$9+$B18*'Rate Card'!$H$9)*(1+'Rate Card'!$B$17+'Rate Card'!$B$18))</f>
        <v/>
      </c>
      <c r="O18" s="18">
        <f>MAX('Rate Card'!$B$19,('Rate Card'!$B$10+$A18*'Rate Card'!$C$10+$B18*'Rate Card'!$D$10)*(1+'Rate Card'!$B$17+'Rate Card'!$B$18))</f>
        <v/>
      </c>
      <c r="P18" s="18">
        <f>MAX('Rate Card'!$B$19,('Rate Card'!$B$10+$A18*'Rate Card'!$E$10+$B18*'Rate Card'!$F$10)*(1+'Rate Card'!$B$17+'Rate Card'!$B$18))</f>
        <v/>
      </c>
      <c r="Q18" s="18">
        <f>MAX('Rate Card'!$B$19,('Rate Card'!$B$10+$A18*'Rate Card'!$G$10+$B18*'Rate Card'!$H$10)*(1+'Rate Card'!$B$17+'Rate Card'!$B$18))</f>
        <v/>
      </c>
    </row>
    <row r="19">
      <c r="A19" s="16" t="n">
        <v>34</v>
      </c>
      <c r="B19" s="19">
        <f>ROUND($A19*'Rate Card'!$B$22,0)</f>
        <v/>
      </c>
      <c r="C19" s="18">
        <f>MAX('Rate Card'!$B$19,('Rate Card'!$B$6+$A19*'Rate Card'!$C$6+$B19*'Rate Card'!$D$6)*(1+'Rate Card'!$B$17+'Rate Card'!$B$18))</f>
        <v/>
      </c>
      <c r="D19" s="18">
        <f>MAX('Rate Card'!$B$19,('Rate Card'!$B$6+$A19*'Rate Card'!$E$6+$B19*'Rate Card'!$F$6)*(1+'Rate Card'!$B$17+'Rate Card'!$B$18))</f>
        <v/>
      </c>
      <c r="E19" s="18">
        <f>MAX('Rate Card'!$B$19,('Rate Card'!$B$6+$A19*'Rate Card'!$G$6+$B19*'Rate Card'!$H$6)*(1+'Rate Card'!$B$17+'Rate Card'!$B$18))</f>
        <v/>
      </c>
      <c r="F19" s="18">
        <f>MAX('Rate Card'!$B$19,('Rate Card'!$B$7+$A19*'Rate Card'!$C$7+$B19*'Rate Card'!$D$7)*(1+'Rate Card'!$B$17+'Rate Card'!$B$18))</f>
        <v/>
      </c>
      <c r="G19" s="18">
        <f>MAX('Rate Card'!$B$19,('Rate Card'!$B$7+$A19*'Rate Card'!$E$7+$B19*'Rate Card'!$F$7)*(1+'Rate Card'!$B$17+'Rate Card'!$B$18))</f>
        <v/>
      </c>
      <c r="H19" s="18">
        <f>MAX('Rate Card'!$B$19,('Rate Card'!$B$7+$A19*'Rate Card'!$G$7+$B19*'Rate Card'!$H$7)*(1+'Rate Card'!$B$17+'Rate Card'!$B$18))</f>
        <v/>
      </c>
      <c r="I19" s="18">
        <f>MAX('Rate Card'!$B$19,('Rate Card'!$B$8+$A19*'Rate Card'!$C$8+$B19*'Rate Card'!$D$8)*(1+'Rate Card'!$B$17+'Rate Card'!$B$18))</f>
        <v/>
      </c>
      <c r="J19" s="18">
        <f>MAX('Rate Card'!$B$19,('Rate Card'!$B$8+$A19*'Rate Card'!$E$8+$B19*'Rate Card'!$F$8)*(1+'Rate Card'!$B$17+'Rate Card'!$B$18))</f>
        <v/>
      </c>
      <c r="K19" s="18">
        <f>MAX('Rate Card'!$B$19,('Rate Card'!$B$8+$A19*'Rate Card'!$G$8+$B19*'Rate Card'!$H$8)*(1+'Rate Card'!$B$17+'Rate Card'!$B$18))</f>
        <v/>
      </c>
      <c r="L19" s="18">
        <f>MAX('Rate Card'!$B$19,('Rate Card'!$B$9+$A19*'Rate Card'!$C$9+$B19*'Rate Card'!$D$9)*(1+'Rate Card'!$B$17+'Rate Card'!$B$18))</f>
        <v/>
      </c>
      <c r="M19" s="18">
        <f>MAX('Rate Card'!$B$19,('Rate Card'!$B$9+$A19*'Rate Card'!$E$9+$B19*'Rate Card'!$F$9)*(1+'Rate Card'!$B$17+'Rate Card'!$B$18))</f>
        <v/>
      </c>
      <c r="N19" s="18">
        <f>MAX('Rate Card'!$B$19,('Rate Card'!$B$9+$A19*'Rate Card'!$G$9+$B19*'Rate Card'!$H$9)*(1+'Rate Card'!$B$17+'Rate Card'!$B$18))</f>
        <v/>
      </c>
      <c r="O19" s="18">
        <f>MAX('Rate Card'!$B$19,('Rate Card'!$B$10+$A19*'Rate Card'!$C$10+$B19*'Rate Card'!$D$10)*(1+'Rate Card'!$B$17+'Rate Card'!$B$18))</f>
        <v/>
      </c>
      <c r="P19" s="18">
        <f>MAX('Rate Card'!$B$19,('Rate Card'!$B$10+$A19*'Rate Card'!$E$10+$B19*'Rate Card'!$F$10)*(1+'Rate Card'!$B$17+'Rate Card'!$B$18))</f>
        <v/>
      </c>
      <c r="Q19" s="18">
        <f>MAX('Rate Card'!$B$19,('Rate Card'!$B$10+$A19*'Rate Card'!$G$10+$B19*'Rate Card'!$H$10)*(1+'Rate Card'!$B$17+'Rate Card'!$B$18))</f>
        <v/>
      </c>
    </row>
    <row r="20">
      <c r="A20" s="16" t="n">
        <v>36</v>
      </c>
      <c r="B20" s="19">
        <f>ROUND($A20*'Rate Card'!$B$22,0)</f>
        <v/>
      </c>
      <c r="C20" s="18">
        <f>MAX('Rate Card'!$B$19,('Rate Card'!$B$6+$A20*'Rate Card'!$C$6+$B20*'Rate Card'!$D$6)*(1+'Rate Card'!$B$17+'Rate Card'!$B$18))</f>
        <v/>
      </c>
      <c r="D20" s="18">
        <f>MAX('Rate Card'!$B$19,('Rate Card'!$B$6+$A20*'Rate Card'!$E$6+$B20*'Rate Card'!$F$6)*(1+'Rate Card'!$B$17+'Rate Card'!$B$18))</f>
        <v/>
      </c>
      <c r="E20" s="18">
        <f>MAX('Rate Card'!$B$19,('Rate Card'!$B$6+$A20*'Rate Card'!$G$6+$B20*'Rate Card'!$H$6)*(1+'Rate Card'!$B$17+'Rate Card'!$B$18))</f>
        <v/>
      </c>
      <c r="F20" s="18">
        <f>MAX('Rate Card'!$B$19,('Rate Card'!$B$7+$A20*'Rate Card'!$C$7+$B20*'Rate Card'!$D$7)*(1+'Rate Card'!$B$17+'Rate Card'!$B$18))</f>
        <v/>
      </c>
      <c r="G20" s="18">
        <f>MAX('Rate Card'!$B$19,('Rate Card'!$B$7+$A20*'Rate Card'!$E$7+$B20*'Rate Card'!$F$7)*(1+'Rate Card'!$B$17+'Rate Card'!$B$18))</f>
        <v/>
      </c>
      <c r="H20" s="18">
        <f>MAX('Rate Card'!$B$19,('Rate Card'!$B$7+$A20*'Rate Card'!$G$7+$B20*'Rate Card'!$H$7)*(1+'Rate Card'!$B$17+'Rate Card'!$B$18))</f>
        <v/>
      </c>
      <c r="I20" s="18">
        <f>MAX('Rate Card'!$B$19,('Rate Card'!$B$8+$A20*'Rate Card'!$C$8+$B20*'Rate Card'!$D$8)*(1+'Rate Card'!$B$17+'Rate Card'!$B$18))</f>
        <v/>
      </c>
      <c r="J20" s="18">
        <f>MAX('Rate Card'!$B$19,('Rate Card'!$B$8+$A20*'Rate Card'!$E$8+$B20*'Rate Card'!$F$8)*(1+'Rate Card'!$B$17+'Rate Card'!$B$18))</f>
        <v/>
      </c>
      <c r="K20" s="18">
        <f>MAX('Rate Card'!$B$19,('Rate Card'!$B$8+$A20*'Rate Card'!$G$8+$B20*'Rate Card'!$H$8)*(1+'Rate Card'!$B$17+'Rate Card'!$B$18))</f>
        <v/>
      </c>
      <c r="L20" s="18">
        <f>MAX('Rate Card'!$B$19,('Rate Card'!$B$9+$A20*'Rate Card'!$C$9+$B20*'Rate Card'!$D$9)*(1+'Rate Card'!$B$17+'Rate Card'!$B$18))</f>
        <v/>
      </c>
      <c r="M20" s="18">
        <f>MAX('Rate Card'!$B$19,('Rate Card'!$B$9+$A20*'Rate Card'!$E$9+$B20*'Rate Card'!$F$9)*(1+'Rate Card'!$B$17+'Rate Card'!$B$18))</f>
        <v/>
      </c>
      <c r="N20" s="18">
        <f>MAX('Rate Card'!$B$19,('Rate Card'!$B$9+$A20*'Rate Card'!$G$9+$B20*'Rate Card'!$H$9)*(1+'Rate Card'!$B$17+'Rate Card'!$B$18))</f>
        <v/>
      </c>
      <c r="O20" s="18">
        <f>MAX('Rate Card'!$B$19,('Rate Card'!$B$10+$A20*'Rate Card'!$C$10+$B20*'Rate Card'!$D$10)*(1+'Rate Card'!$B$17+'Rate Card'!$B$18))</f>
        <v/>
      </c>
      <c r="P20" s="18">
        <f>MAX('Rate Card'!$B$19,('Rate Card'!$B$10+$A20*'Rate Card'!$E$10+$B20*'Rate Card'!$F$10)*(1+'Rate Card'!$B$17+'Rate Card'!$B$18))</f>
        <v/>
      </c>
      <c r="Q20" s="18">
        <f>MAX('Rate Card'!$B$19,('Rate Card'!$B$10+$A20*'Rate Card'!$G$10+$B20*'Rate Card'!$H$10)*(1+'Rate Card'!$B$17+'Rate Card'!$B$18))</f>
        <v/>
      </c>
    </row>
    <row r="21">
      <c r="A21" s="16" t="n">
        <v>38</v>
      </c>
      <c r="B21" s="19">
        <f>ROUND($A21*'Rate Card'!$B$22,0)</f>
        <v/>
      </c>
      <c r="C21" s="18">
        <f>MAX('Rate Card'!$B$19,('Rate Card'!$B$6+$A21*'Rate Card'!$C$6+$B21*'Rate Card'!$D$6)*(1+'Rate Card'!$B$17+'Rate Card'!$B$18))</f>
        <v/>
      </c>
      <c r="D21" s="18">
        <f>MAX('Rate Card'!$B$19,('Rate Card'!$B$6+$A21*'Rate Card'!$E$6+$B21*'Rate Card'!$F$6)*(1+'Rate Card'!$B$17+'Rate Card'!$B$18))</f>
        <v/>
      </c>
      <c r="E21" s="18">
        <f>MAX('Rate Card'!$B$19,('Rate Card'!$B$6+$A21*'Rate Card'!$G$6+$B21*'Rate Card'!$H$6)*(1+'Rate Card'!$B$17+'Rate Card'!$B$18))</f>
        <v/>
      </c>
      <c r="F21" s="18">
        <f>MAX('Rate Card'!$B$19,('Rate Card'!$B$7+$A21*'Rate Card'!$C$7+$B21*'Rate Card'!$D$7)*(1+'Rate Card'!$B$17+'Rate Card'!$B$18))</f>
        <v/>
      </c>
      <c r="G21" s="18">
        <f>MAX('Rate Card'!$B$19,('Rate Card'!$B$7+$A21*'Rate Card'!$E$7+$B21*'Rate Card'!$F$7)*(1+'Rate Card'!$B$17+'Rate Card'!$B$18))</f>
        <v/>
      </c>
      <c r="H21" s="18">
        <f>MAX('Rate Card'!$B$19,('Rate Card'!$B$7+$A21*'Rate Card'!$G$7+$B21*'Rate Card'!$H$7)*(1+'Rate Card'!$B$17+'Rate Card'!$B$18))</f>
        <v/>
      </c>
      <c r="I21" s="18">
        <f>MAX('Rate Card'!$B$19,('Rate Card'!$B$8+$A21*'Rate Card'!$C$8+$B21*'Rate Card'!$D$8)*(1+'Rate Card'!$B$17+'Rate Card'!$B$18))</f>
        <v/>
      </c>
      <c r="J21" s="18">
        <f>MAX('Rate Card'!$B$19,('Rate Card'!$B$8+$A21*'Rate Card'!$E$8+$B21*'Rate Card'!$F$8)*(1+'Rate Card'!$B$17+'Rate Card'!$B$18))</f>
        <v/>
      </c>
      <c r="K21" s="18">
        <f>MAX('Rate Card'!$B$19,('Rate Card'!$B$8+$A21*'Rate Card'!$G$8+$B21*'Rate Card'!$H$8)*(1+'Rate Card'!$B$17+'Rate Card'!$B$18))</f>
        <v/>
      </c>
      <c r="L21" s="18">
        <f>MAX('Rate Card'!$B$19,('Rate Card'!$B$9+$A21*'Rate Card'!$C$9+$B21*'Rate Card'!$D$9)*(1+'Rate Card'!$B$17+'Rate Card'!$B$18))</f>
        <v/>
      </c>
      <c r="M21" s="18">
        <f>MAX('Rate Card'!$B$19,('Rate Card'!$B$9+$A21*'Rate Card'!$E$9+$B21*'Rate Card'!$F$9)*(1+'Rate Card'!$B$17+'Rate Card'!$B$18))</f>
        <v/>
      </c>
      <c r="N21" s="18">
        <f>MAX('Rate Card'!$B$19,('Rate Card'!$B$9+$A21*'Rate Card'!$G$9+$B21*'Rate Card'!$H$9)*(1+'Rate Card'!$B$17+'Rate Card'!$B$18))</f>
        <v/>
      </c>
      <c r="O21" s="18">
        <f>MAX('Rate Card'!$B$19,('Rate Card'!$B$10+$A21*'Rate Card'!$C$10+$B21*'Rate Card'!$D$10)*(1+'Rate Card'!$B$17+'Rate Card'!$B$18))</f>
        <v/>
      </c>
      <c r="P21" s="18">
        <f>MAX('Rate Card'!$B$19,('Rate Card'!$B$10+$A21*'Rate Card'!$E$10+$B21*'Rate Card'!$F$10)*(1+'Rate Card'!$B$17+'Rate Card'!$B$18))</f>
        <v/>
      </c>
      <c r="Q21" s="18">
        <f>MAX('Rate Card'!$B$19,('Rate Card'!$B$10+$A21*'Rate Card'!$G$10+$B21*'Rate Card'!$H$10)*(1+'Rate Card'!$B$17+'Rate Card'!$B$18))</f>
        <v/>
      </c>
    </row>
    <row r="22">
      <c r="A22" s="16" t="n">
        <v>40</v>
      </c>
      <c r="B22" s="19">
        <f>ROUND($A22*'Rate Card'!$B$22,0)</f>
        <v/>
      </c>
      <c r="C22" s="18">
        <f>MAX('Rate Card'!$B$19,('Rate Card'!$B$6+$A22*'Rate Card'!$C$6+$B22*'Rate Card'!$D$6)*(1+'Rate Card'!$B$17+'Rate Card'!$B$18))</f>
        <v/>
      </c>
      <c r="D22" s="18">
        <f>MAX('Rate Card'!$B$19,('Rate Card'!$B$6+$A22*'Rate Card'!$E$6+$B22*'Rate Card'!$F$6)*(1+'Rate Card'!$B$17+'Rate Card'!$B$18))</f>
        <v/>
      </c>
      <c r="E22" s="18">
        <f>MAX('Rate Card'!$B$19,('Rate Card'!$B$6+$A22*'Rate Card'!$G$6+$B22*'Rate Card'!$H$6)*(1+'Rate Card'!$B$17+'Rate Card'!$B$18))</f>
        <v/>
      </c>
      <c r="F22" s="18">
        <f>MAX('Rate Card'!$B$19,('Rate Card'!$B$7+$A22*'Rate Card'!$C$7+$B22*'Rate Card'!$D$7)*(1+'Rate Card'!$B$17+'Rate Card'!$B$18))</f>
        <v/>
      </c>
      <c r="G22" s="18">
        <f>MAX('Rate Card'!$B$19,('Rate Card'!$B$7+$A22*'Rate Card'!$E$7+$B22*'Rate Card'!$F$7)*(1+'Rate Card'!$B$17+'Rate Card'!$B$18))</f>
        <v/>
      </c>
      <c r="H22" s="18">
        <f>MAX('Rate Card'!$B$19,('Rate Card'!$B$7+$A22*'Rate Card'!$G$7+$B22*'Rate Card'!$H$7)*(1+'Rate Card'!$B$17+'Rate Card'!$B$18))</f>
        <v/>
      </c>
      <c r="I22" s="18">
        <f>MAX('Rate Card'!$B$19,('Rate Card'!$B$8+$A22*'Rate Card'!$C$8+$B22*'Rate Card'!$D$8)*(1+'Rate Card'!$B$17+'Rate Card'!$B$18))</f>
        <v/>
      </c>
      <c r="J22" s="18">
        <f>MAX('Rate Card'!$B$19,('Rate Card'!$B$8+$A22*'Rate Card'!$E$8+$B22*'Rate Card'!$F$8)*(1+'Rate Card'!$B$17+'Rate Card'!$B$18))</f>
        <v/>
      </c>
      <c r="K22" s="18">
        <f>MAX('Rate Card'!$B$19,('Rate Card'!$B$8+$A22*'Rate Card'!$G$8+$B22*'Rate Card'!$H$8)*(1+'Rate Card'!$B$17+'Rate Card'!$B$18))</f>
        <v/>
      </c>
      <c r="L22" s="18">
        <f>MAX('Rate Card'!$B$19,('Rate Card'!$B$9+$A22*'Rate Card'!$C$9+$B22*'Rate Card'!$D$9)*(1+'Rate Card'!$B$17+'Rate Card'!$B$18))</f>
        <v/>
      </c>
      <c r="M22" s="18">
        <f>MAX('Rate Card'!$B$19,('Rate Card'!$B$9+$A22*'Rate Card'!$E$9+$B22*'Rate Card'!$F$9)*(1+'Rate Card'!$B$17+'Rate Card'!$B$18))</f>
        <v/>
      </c>
      <c r="N22" s="18">
        <f>MAX('Rate Card'!$B$19,('Rate Card'!$B$9+$A22*'Rate Card'!$G$9+$B22*'Rate Card'!$H$9)*(1+'Rate Card'!$B$17+'Rate Card'!$B$18))</f>
        <v/>
      </c>
      <c r="O22" s="18">
        <f>MAX('Rate Card'!$B$19,('Rate Card'!$B$10+$A22*'Rate Card'!$C$10+$B22*'Rate Card'!$D$10)*(1+'Rate Card'!$B$17+'Rate Card'!$B$18))</f>
        <v/>
      </c>
      <c r="P22" s="18">
        <f>MAX('Rate Card'!$B$19,('Rate Card'!$B$10+$A22*'Rate Card'!$E$10+$B22*'Rate Card'!$F$10)*(1+'Rate Card'!$B$17+'Rate Card'!$B$18))</f>
        <v/>
      </c>
      <c r="Q22" s="18">
        <f>MAX('Rate Card'!$B$19,('Rate Card'!$B$10+$A22*'Rate Card'!$G$10+$B22*'Rate Card'!$H$10)*(1+'Rate Card'!$B$17+'Rate Card'!$B$18))</f>
        <v/>
      </c>
    </row>
    <row r="23">
      <c r="A23" s="16" t="n">
        <v>42</v>
      </c>
      <c r="B23" s="19">
        <f>ROUND($A23*'Rate Card'!$B$22,0)</f>
        <v/>
      </c>
      <c r="C23" s="18">
        <f>MAX('Rate Card'!$B$19,('Rate Card'!$B$6+$A23*'Rate Card'!$C$6+$B23*'Rate Card'!$D$6)*(1+'Rate Card'!$B$17+'Rate Card'!$B$18))</f>
        <v/>
      </c>
      <c r="D23" s="18">
        <f>MAX('Rate Card'!$B$19,('Rate Card'!$B$6+$A23*'Rate Card'!$E$6+$B23*'Rate Card'!$F$6)*(1+'Rate Card'!$B$17+'Rate Card'!$B$18))</f>
        <v/>
      </c>
      <c r="E23" s="18">
        <f>MAX('Rate Card'!$B$19,('Rate Card'!$B$6+$A23*'Rate Card'!$G$6+$B23*'Rate Card'!$H$6)*(1+'Rate Card'!$B$17+'Rate Card'!$B$18))</f>
        <v/>
      </c>
      <c r="F23" s="18">
        <f>MAX('Rate Card'!$B$19,('Rate Card'!$B$7+$A23*'Rate Card'!$C$7+$B23*'Rate Card'!$D$7)*(1+'Rate Card'!$B$17+'Rate Card'!$B$18))</f>
        <v/>
      </c>
      <c r="G23" s="18">
        <f>MAX('Rate Card'!$B$19,('Rate Card'!$B$7+$A23*'Rate Card'!$E$7+$B23*'Rate Card'!$F$7)*(1+'Rate Card'!$B$17+'Rate Card'!$B$18))</f>
        <v/>
      </c>
      <c r="H23" s="18">
        <f>MAX('Rate Card'!$B$19,('Rate Card'!$B$7+$A23*'Rate Card'!$G$7+$B23*'Rate Card'!$H$7)*(1+'Rate Card'!$B$17+'Rate Card'!$B$18))</f>
        <v/>
      </c>
      <c r="I23" s="18">
        <f>MAX('Rate Card'!$B$19,('Rate Card'!$B$8+$A23*'Rate Card'!$C$8+$B23*'Rate Card'!$D$8)*(1+'Rate Card'!$B$17+'Rate Card'!$B$18))</f>
        <v/>
      </c>
      <c r="J23" s="18">
        <f>MAX('Rate Card'!$B$19,('Rate Card'!$B$8+$A23*'Rate Card'!$E$8+$B23*'Rate Card'!$F$8)*(1+'Rate Card'!$B$17+'Rate Card'!$B$18))</f>
        <v/>
      </c>
      <c r="K23" s="18">
        <f>MAX('Rate Card'!$B$19,('Rate Card'!$B$8+$A23*'Rate Card'!$G$8+$B23*'Rate Card'!$H$8)*(1+'Rate Card'!$B$17+'Rate Card'!$B$18))</f>
        <v/>
      </c>
      <c r="L23" s="18">
        <f>MAX('Rate Card'!$B$19,('Rate Card'!$B$9+$A23*'Rate Card'!$C$9+$B23*'Rate Card'!$D$9)*(1+'Rate Card'!$B$17+'Rate Card'!$B$18))</f>
        <v/>
      </c>
      <c r="M23" s="18">
        <f>MAX('Rate Card'!$B$19,('Rate Card'!$B$9+$A23*'Rate Card'!$E$9+$B23*'Rate Card'!$F$9)*(1+'Rate Card'!$B$17+'Rate Card'!$B$18))</f>
        <v/>
      </c>
      <c r="N23" s="18">
        <f>MAX('Rate Card'!$B$19,('Rate Card'!$B$9+$A23*'Rate Card'!$G$9+$B23*'Rate Card'!$H$9)*(1+'Rate Card'!$B$17+'Rate Card'!$B$18))</f>
        <v/>
      </c>
      <c r="O23" s="18">
        <f>MAX('Rate Card'!$B$19,('Rate Card'!$B$10+$A23*'Rate Card'!$C$10+$B23*'Rate Card'!$D$10)*(1+'Rate Card'!$B$17+'Rate Card'!$B$18))</f>
        <v/>
      </c>
      <c r="P23" s="18">
        <f>MAX('Rate Card'!$B$19,('Rate Card'!$B$10+$A23*'Rate Card'!$E$10+$B23*'Rate Card'!$F$10)*(1+'Rate Card'!$B$17+'Rate Card'!$B$18))</f>
        <v/>
      </c>
      <c r="Q23" s="18">
        <f>MAX('Rate Card'!$B$19,('Rate Card'!$B$10+$A23*'Rate Card'!$G$10+$B23*'Rate Card'!$H$10)*(1+'Rate Card'!$B$17+'Rate Card'!$B$18))</f>
        <v/>
      </c>
    </row>
    <row r="24">
      <c r="A24" s="16" t="n">
        <v>44</v>
      </c>
      <c r="B24" s="19">
        <f>ROUND($A24*'Rate Card'!$B$22,0)</f>
        <v/>
      </c>
      <c r="C24" s="18">
        <f>MAX('Rate Card'!$B$19,('Rate Card'!$B$6+$A24*'Rate Card'!$C$6+$B24*'Rate Card'!$D$6)*(1+'Rate Card'!$B$17+'Rate Card'!$B$18))</f>
        <v/>
      </c>
      <c r="D24" s="18">
        <f>MAX('Rate Card'!$B$19,('Rate Card'!$B$6+$A24*'Rate Card'!$E$6+$B24*'Rate Card'!$F$6)*(1+'Rate Card'!$B$17+'Rate Card'!$B$18))</f>
        <v/>
      </c>
      <c r="E24" s="18">
        <f>MAX('Rate Card'!$B$19,('Rate Card'!$B$6+$A24*'Rate Card'!$G$6+$B24*'Rate Card'!$H$6)*(1+'Rate Card'!$B$17+'Rate Card'!$B$18))</f>
        <v/>
      </c>
      <c r="F24" s="18">
        <f>MAX('Rate Card'!$B$19,('Rate Card'!$B$7+$A24*'Rate Card'!$C$7+$B24*'Rate Card'!$D$7)*(1+'Rate Card'!$B$17+'Rate Card'!$B$18))</f>
        <v/>
      </c>
      <c r="G24" s="18">
        <f>MAX('Rate Card'!$B$19,('Rate Card'!$B$7+$A24*'Rate Card'!$E$7+$B24*'Rate Card'!$F$7)*(1+'Rate Card'!$B$17+'Rate Card'!$B$18))</f>
        <v/>
      </c>
      <c r="H24" s="18">
        <f>MAX('Rate Card'!$B$19,('Rate Card'!$B$7+$A24*'Rate Card'!$G$7+$B24*'Rate Card'!$H$7)*(1+'Rate Card'!$B$17+'Rate Card'!$B$18))</f>
        <v/>
      </c>
      <c r="I24" s="18">
        <f>MAX('Rate Card'!$B$19,('Rate Card'!$B$8+$A24*'Rate Card'!$C$8+$B24*'Rate Card'!$D$8)*(1+'Rate Card'!$B$17+'Rate Card'!$B$18))</f>
        <v/>
      </c>
      <c r="J24" s="18">
        <f>MAX('Rate Card'!$B$19,('Rate Card'!$B$8+$A24*'Rate Card'!$E$8+$B24*'Rate Card'!$F$8)*(1+'Rate Card'!$B$17+'Rate Card'!$B$18))</f>
        <v/>
      </c>
      <c r="K24" s="18">
        <f>MAX('Rate Card'!$B$19,('Rate Card'!$B$8+$A24*'Rate Card'!$G$8+$B24*'Rate Card'!$H$8)*(1+'Rate Card'!$B$17+'Rate Card'!$B$18))</f>
        <v/>
      </c>
      <c r="L24" s="18">
        <f>MAX('Rate Card'!$B$19,('Rate Card'!$B$9+$A24*'Rate Card'!$C$9+$B24*'Rate Card'!$D$9)*(1+'Rate Card'!$B$17+'Rate Card'!$B$18))</f>
        <v/>
      </c>
      <c r="M24" s="18">
        <f>MAX('Rate Card'!$B$19,('Rate Card'!$B$9+$A24*'Rate Card'!$E$9+$B24*'Rate Card'!$F$9)*(1+'Rate Card'!$B$17+'Rate Card'!$B$18))</f>
        <v/>
      </c>
      <c r="N24" s="18">
        <f>MAX('Rate Card'!$B$19,('Rate Card'!$B$9+$A24*'Rate Card'!$G$9+$B24*'Rate Card'!$H$9)*(1+'Rate Card'!$B$17+'Rate Card'!$B$18))</f>
        <v/>
      </c>
      <c r="O24" s="18">
        <f>MAX('Rate Card'!$B$19,('Rate Card'!$B$10+$A24*'Rate Card'!$C$10+$B24*'Rate Card'!$D$10)*(1+'Rate Card'!$B$17+'Rate Card'!$B$18))</f>
        <v/>
      </c>
      <c r="P24" s="18">
        <f>MAX('Rate Card'!$B$19,('Rate Card'!$B$10+$A24*'Rate Card'!$E$10+$B24*'Rate Card'!$F$10)*(1+'Rate Card'!$B$17+'Rate Card'!$B$18))</f>
        <v/>
      </c>
      <c r="Q24" s="18">
        <f>MAX('Rate Card'!$B$19,('Rate Card'!$B$10+$A24*'Rate Card'!$G$10+$B24*'Rate Card'!$H$10)*(1+'Rate Card'!$B$17+'Rate Card'!$B$18))</f>
        <v/>
      </c>
    </row>
    <row r="25">
      <c r="A25" s="16" t="n">
        <v>46</v>
      </c>
      <c r="B25" s="19">
        <f>ROUND($A25*'Rate Card'!$B$22,0)</f>
        <v/>
      </c>
      <c r="C25" s="18">
        <f>MAX('Rate Card'!$B$19,('Rate Card'!$B$6+$A25*'Rate Card'!$C$6+$B25*'Rate Card'!$D$6)*(1+'Rate Card'!$B$17+'Rate Card'!$B$18))</f>
        <v/>
      </c>
      <c r="D25" s="18">
        <f>MAX('Rate Card'!$B$19,('Rate Card'!$B$6+$A25*'Rate Card'!$E$6+$B25*'Rate Card'!$F$6)*(1+'Rate Card'!$B$17+'Rate Card'!$B$18))</f>
        <v/>
      </c>
      <c r="E25" s="18">
        <f>MAX('Rate Card'!$B$19,('Rate Card'!$B$6+$A25*'Rate Card'!$G$6+$B25*'Rate Card'!$H$6)*(1+'Rate Card'!$B$17+'Rate Card'!$B$18))</f>
        <v/>
      </c>
      <c r="F25" s="18">
        <f>MAX('Rate Card'!$B$19,('Rate Card'!$B$7+$A25*'Rate Card'!$C$7+$B25*'Rate Card'!$D$7)*(1+'Rate Card'!$B$17+'Rate Card'!$B$18))</f>
        <v/>
      </c>
      <c r="G25" s="18">
        <f>MAX('Rate Card'!$B$19,('Rate Card'!$B$7+$A25*'Rate Card'!$E$7+$B25*'Rate Card'!$F$7)*(1+'Rate Card'!$B$17+'Rate Card'!$B$18))</f>
        <v/>
      </c>
      <c r="H25" s="18">
        <f>MAX('Rate Card'!$B$19,('Rate Card'!$B$7+$A25*'Rate Card'!$G$7+$B25*'Rate Card'!$H$7)*(1+'Rate Card'!$B$17+'Rate Card'!$B$18))</f>
        <v/>
      </c>
      <c r="I25" s="18">
        <f>MAX('Rate Card'!$B$19,('Rate Card'!$B$8+$A25*'Rate Card'!$C$8+$B25*'Rate Card'!$D$8)*(1+'Rate Card'!$B$17+'Rate Card'!$B$18))</f>
        <v/>
      </c>
      <c r="J25" s="18">
        <f>MAX('Rate Card'!$B$19,('Rate Card'!$B$8+$A25*'Rate Card'!$E$8+$B25*'Rate Card'!$F$8)*(1+'Rate Card'!$B$17+'Rate Card'!$B$18))</f>
        <v/>
      </c>
      <c r="K25" s="18">
        <f>MAX('Rate Card'!$B$19,('Rate Card'!$B$8+$A25*'Rate Card'!$G$8+$B25*'Rate Card'!$H$8)*(1+'Rate Card'!$B$17+'Rate Card'!$B$18))</f>
        <v/>
      </c>
      <c r="L25" s="18">
        <f>MAX('Rate Card'!$B$19,('Rate Card'!$B$9+$A25*'Rate Card'!$C$9+$B25*'Rate Card'!$D$9)*(1+'Rate Card'!$B$17+'Rate Card'!$B$18))</f>
        <v/>
      </c>
      <c r="M25" s="18">
        <f>MAX('Rate Card'!$B$19,('Rate Card'!$B$9+$A25*'Rate Card'!$E$9+$B25*'Rate Card'!$F$9)*(1+'Rate Card'!$B$17+'Rate Card'!$B$18))</f>
        <v/>
      </c>
      <c r="N25" s="18">
        <f>MAX('Rate Card'!$B$19,('Rate Card'!$B$9+$A25*'Rate Card'!$G$9+$B25*'Rate Card'!$H$9)*(1+'Rate Card'!$B$17+'Rate Card'!$B$18))</f>
        <v/>
      </c>
      <c r="O25" s="18">
        <f>MAX('Rate Card'!$B$19,('Rate Card'!$B$10+$A25*'Rate Card'!$C$10+$B25*'Rate Card'!$D$10)*(1+'Rate Card'!$B$17+'Rate Card'!$B$18))</f>
        <v/>
      </c>
      <c r="P25" s="18">
        <f>MAX('Rate Card'!$B$19,('Rate Card'!$B$10+$A25*'Rate Card'!$E$10+$B25*'Rate Card'!$F$10)*(1+'Rate Card'!$B$17+'Rate Card'!$B$18))</f>
        <v/>
      </c>
      <c r="Q25" s="18">
        <f>MAX('Rate Card'!$B$19,('Rate Card'!$B$10+$A25*'Rate Card'!$G$10+$B25*'Rate Card'!$H$10)*(1+'Rate Card'!$B$17+'Rate Card'!$B$18))</f>
        <v/>
      </c>
    </row>
    <row r="26">
      <c r="A26" s="16" t="n">
        <v>48</v>
      </c>
      <c r="B26" s="19">
        <f>ROUND($A26*'Rate Card'!$B$22,0)</f>
        <v/>
      </c>
      <c r="C26" s="18">
        <f>MAX('Rate Card'!$B$19,('Rate Card'!$B$6+$A26*'Rate Card'!$C$6+$B26*'Rate Card'!$D$6)*(1+'Rate Card'!$B$17+'Rate Card'!$B$18))</f>
        <v/>
      </c>
      <c r="D26" s="18">
        <f>MAX('Rate Card'!$B$19,('Rate Card'!$B$6+$A26*'Rate Card'!$E$6+$B26*'Rate Card'!$F$6)*(1+'Rate Card'!$B$17+'Rate Card'!$B$18))</f>
        <v/>
      </c>
      <c r="E26" s="18">
        <f>MAX('Rate Card'!$B$19,('Rate Card'!$B$6+$A26*'Rate Card'!$G$6+$B26*'Rate Card'!$H$6)*(1+'Rate Card'!$B$17+'Rate Card'!$B$18))</f>
        <v/>
      </c>
      <c r="F26" s="18">
        <f>MAX('Rate Card'!$B$19,('Rate Card'!$B$7+$A26*'Rate Card'!$C$7+$B26*'Rate Card'!$D$7)*(1+'Rate Card'!$B$17+'Rate Card'!$B$18))</f>
        <v/>
      </c>
      <c r="G26" s="18">
        <f>MAX('Rate Card'!$B$19,('Rate Card'!$B$7+$A26*'Rate Card'!$E$7+$B26*'Rate Card'!$F$7)*(1+'Rate Card'!$B$17+'Rate Card'!$B$18))</f>
        <v/>
      </c>
      <c r="H26" s="18">
        <f>MAX('Rate Card'!$B$19,('Rate Card'!$B$7+$A26*'Rate Card'!$G$7+$B26*'Rate Card'!$H$7)*(1+'Rate Card'!$B$17+'Rate Card'!$B$18))</f>
        <v/>
      </c>
      <c r="I26" s="18">
        <f>MAX('Rate Card'!$B$19,('Rate Card'!$B$8+$A26*'Rate Card'!$C$8+$B26*'Rate Card'!$D$8)*(1+'Rate Card'!$B$17+'Rate Card'!$B$18))</f>
        <v/>
      </c>
      <c r="J26" s="18">
        <f>MAX('Rate Card'!$B$19,('Rate Card'!$B$8+$A26*'Rate Card'!$E$8+$B26*'Rate Card'!$F$8)*(1+'Rate Card'!$B$17+'Rate Card'!$B$18))</f>
        <v/>
      </c>
      <c r="K26" s="18">
        <f>MAX('Rate Card'!$B$19,('Rate Card'!$B$8+$A26*'Rate Card'!$G$8+$B26*'Rate Card'!$H$8)*(1+'Rate Card'!$B$17+'Rate Card'!$B$18))</f>
        <v/>
      </c>
      <c r="L26" s="18">
        <f>MAX('Rate Card'!$B$19,('Rate Card'!$B$9+$A26*'Rate Card'!$C$9+$B26*'Rate Card'!$D$9)*(1+'Rate Card'!$B$17+'Rate Card'!$B$18))</f>
        <v/>
      </c>
      <c r="M26" s="18">
        <f>MAX('Rate Card'!$B$19,('Rate Card'!$B$9+$A26*'Rate Card'!$E$9+$B26*'Rate Card'!$F$9)*(1+'Rate Card'!$B$17+'Rate Card'!$B$18))</f>
        <v/>
      </c>
      <c r="N26" s="18">
        <f>MAX('Rate Card'!$B$19,('Rate Card'!$B$9+$A26*'Rate Card'!$G$9+$B26*'Rate Card'!$H$9)*(1+'Rate Card'!$B$17+'Rate Card'!$B$18))</f>
        <v/>
      </c>
      <c r="O26" s="18">
        <f>MAX('Rate Card'!$B$19,('Rate Card'!$B$10+$A26*'Rate Card'!$C$10+$B26*'Rate Card'!$D$10)*(1+'Rate Card'!$B$17+'Rate Card'!$B$18))</f>
        <v/>
      </c>
      <c r="P26" s="18">
        <f>MAX('Rate Card'!$B$19,('Rate Card'!$B$10+$A26*'Rate Card'!$E$10+$B26*'Rate Card'!$F$10)*(1+'Rate Card'!$B$17+'Rate Card'!$B$18))</f>
        <v/>
      </c>
      <c r="Q26" s="18">
        <f>MAX('Rate Card'!$B$19,('Rate Card'!$B$10+$A26*'Rate Card'!$G$10+$B26*'Rate Card'!$H$10)*(1+'Rate Card'!$B$17+'Rate Card'!$B$18))</f>
        <v/>
      </c>
    </row>
    <row r="27">
      <c r="A27" s="16" t="n">
        <v>50</v>
      </c>
      <c r="B27" s="19">
        <f>ROUND($A27*'Rate Card'!$B$22,0)</f>
        <v/>
      </c>
      <c r="C27" s="18">
        <f>MAX('Rate Card'!$B$19,('Rate Card'!$B$6+$A27*'Rate Card'!$C$6+$B27*'Rate Card'!$D$6)*(1+'Rate Card'!$B$17+'Rate Card'!$B$18))</f>
        <v/>
      </c>
      <c r="D27" s="18">
        <f>MAX('Rate Card'!$B$19,('Rate Card'!$B$6+$A27*'Rate Card'!$E$6+$B27*'Rate Card'!$F$6)*(1+'Rate Card'!$B$17+'Rate Card'!$B$18))</f>
        <v/>
      </c>
      <c r="E27" s="18">
        <f>MAX('Rate Card'!$B$19,('Rate Card'!$B$6+$A27*'Rate Card'!$G$6+$B27*'Rate Card'!$H$6)*(1+'Rate Card'!$B$17+'Rate Card'!$B$18))</f>
        <v/>
      </c>
      <c r="F27" s="18">
        <f>MAX('Rate Card'!$B$19,('Rate Card'!$B$7+$A27*'Rate Card'!$C$7+$B27*'Rate Card'!$D$7)*(1+'Rate Card'!$B$17+'Rate Card'!$B$18))</f>
        <v/>
      </c>
      <c r="G27" s="18">
        <f>MAX('Rate Card'!$B$19,('Rate Card'!$B$7+$A27*'Rate Card'!$E$7+$B27*'Rate Card'!$F$7)*(1+'Rate Card'!$B$17+'Rate Card'!$B$18))</f>
        <v/>
      </c>
      <c r="H27" s="18">
        <f>MAX('Rate Card'!$B$19,('Rate Card'!$B$7+$A27*'Rate Card'!$G$7+$B27*'Rate Card'!$H$7)*(1+'Rate Card'!$B$17+'Rate Card'!$B$18))</f>
        <v/>
      </c>
      <c r="I27" s="18">
        <f>MAX('Rate Card'!$B$19,('Rate Card'!$B$8+$A27*'Rate Card'!$C$8+$B27*'Rate Card'!$D$8)*(1+'Rate Card'!$B$17+'Rate Card'!$B$18))</f>
        <v/>
      </c>
      <c r="J27" s="18">
        <f>MAX('Rate Card'!$B$19,('Rate Card'!$B$8+$A27*'Rate Card'!$E$8+$B27*'Rate Card'!$F$8)*(1+'Rate Card'!$B$17+'Rate Card'!$B$18))</f>
        <v/>
      </c>
      <c r="K27" s="18">
        <f>MAX('Rate Card'!$B$19,('Rate Card'!$B$8+$A27*'Rate Card'!$G$8+$B27*'Rate Card'!$H$8)*(1+'Rate Card'!$B$17+'Rate Card'!$B$18))</f>
        <v/>
      </c>
      <c r="L27" s="18">
        <f>MAX('Rate Card'!$B$19,('Rate Card'!$B$9+$A27*'Rate Card'!$C$9+$B27*'Rate Card'!$D$9)*(1+'Rate Card'!$B$17+'Rate Card'!$B$18))</f>
        <v/>
      </c>
      <c r="M27" s="18">
        <f>MAX('Rate Card'!$B$19,('Rate Card'!$B$9+$A27*'Rate Card'!$E$9+$B27*'Rate Card'!$F$9)*(1+'Rate Card'!$B$17+'Rate Card'!$B$18))</f>
        <v/>
      </c>
      <c r="N27" s="18">
        <f>MAX('Rate Card'!$B$19,('Rate Card'!$B$9+$A27*'Rate Card'!$G$9+$B27*'Rate Card'!$H$9)*(1+'Rate Card'!$B$17+'Rate Card'!$B$18))</f>
        <v/>
      </c>
      <c r="O27" s="18">
        <f>MAX('Rate Card'!$B$19,('Rate Card'!$B$10+$A27*'Rate Card'!$C$10+$B27*'Rate Card'!$D$10)*(1+'Rate Card'!$B$17+'Rate Card'!$B$18))</f>
        <v/>
      </c>
      <c r="P27" s="18">
        <f>MAX('Rate Card'!$B$19,('Rate Card'!$B$10+$A27*'Rate Card'!$E$10+$B27*'Rate Card'!$F$10)*(1+'Rate Card'!$B$17+'Rate Card'!$B$18))</f>
        <v/>
      </c>
      <c r="Q27" s="18">
        <f>MAX('Rate Card'!$B$19,('Rate Card'!$B$10+$A27*'Rate Card'!$G$10+$B27*'Rate Card'!$H$10)*(1+'Rate Card'!$B$17+'Rate Card'!$B$18))</f>
        <v/>
      </c>
    </row>
    <row r="28">
      <c r="A28" s="16" t="n">
        <v>52</v>
      </c>
      <c r="B28" s="19">
        <f>ROUND($A28*'Rate Card'!$B$22,0)</f>
        <v/>
      </c>
      <c r="C28" s="18">
        <f>MAX('Rate Card'!$B$19,('Rate Card'!$B$6+$A28*'Rate Card'!$C$6+$B28*'Rate Card'!$D$6)*(1+'Rate Card'!$B$17+'Rate Card'!$B$18))</f>
        <v/>
      </c>
      <c r="D28" s="18">
        <f>MAX('Rate Card'!$B$19,('Rate Card'!$B$6+$A28*'Rate Card'!$E$6+$B28*'Rate Card'!$F$6)*(1+'Rate Card'!$B$17+'Rate Card'!$B$18))</f>
        <v/>
      </c>
      <c r="E28" s="18">
        <f>MAX('Rate Card'!$B$19,('Rate Card'!$B$6+$A28*'Rate Card'!$G$6+$B28*'Rate Card'!$H$6)*(1+'Rate Card'!$B$17+'Rate Card'!$B$18))</f>
        <v/>
      </c>
      <c r="F28" s="18">
        <f>MAX('Rate Card'!$B$19,('Rate Card'!$B$7+$A28*'Rate Card'!$C$7+$B28*'Rate Card'!$D$7)*(1+'Rate Card'!$B$17+'Rate Card'!$B$18))</f>
        <v/>
      </c>
      <c r="G28" s="18">
        <f>MAX('Rate Card'!$B$19,('Rate Card'!$B$7+$A28*'Rate Card'!$E$7+$B28*'Rate Card'!$F$7)*(1+'Rate Card'!$B$17+'Rate Card'!$B$18))</f>
        <v/>
      </c>
      <c r="H28" s="18">
        <f>MAX('Rate Card'!$B$19,('Rate Card'!$B$7+$A28*'Rate Card'!$G$7+$B28*'Rate Card'!$H$7)*(1+'Rate Card'!$B$17+'Rate Card'!$B$18))</f>
        <v/>
      </c>
      <c r="I28" s="18">
        <f>MAX('Rate Card'!$B$19,('Rate Card'!$B$8+$A28*'Rate Card'!$C$8+$B28*'Rate Card'!$D$8)*(1+'Rate Card'!$B$17+'Rate Card'!$B$18))</f>
        <v/>
      </c>
      <c r="J28" s="18">
        <f>MAX('Rate Card'!$B$19,('Rate Card'!$B$8+$A28*'Rate Card'!$E$8+$B28*'Rate Card'!$F$8)*(1+'Rate Card'!$B$17+'Rate Card'!$B$18))</f>
        <v/>
      </c>
      <c r="K28" s="18">
        <f>MAX('Rate Card'!$B$19,('Rate Card'!$B$8+$A28*'Rate Card'!$G$8+$B28*'Rate Card'!$H$8)*(1+'Rate Card'!$B$17+'Rate Card'!$B$18))</f>
        <v/>
      </c>
      <c r="L28" s="18">
        <f>MAX('Rate Card'!$B$19,('Rate Card'!$B$9+$A28*'Rate Card'!$C$9+$B28*'Rate Card'!$D$9)*(1+'Rate Card'!$B$17+'Rate Card'!$B$18))</f>
        <v/>
      </c>
      <c r="M28" s="18">
        <f>MAX('Rate Card'!$B$19,('Rate Card'!$B$9+$A28*'Rate Card'!$E$9+$B28*'Rate Card'!$F$9)*(1+'Rate Card'!$B$17+'Rate Card'!$B$18))</f>
        <v/>
      </c>
      <c r="N28" s="18">
        <f>MAX('Rate Card'!$B$19,('Rate Card'!$B$9+$A28*'Rate Card'!$G$9+$B28*'Rate Card'!$H$9)*(1+'Rate Card'!$B$17+'Rate Card'!$B$18))</f>
        <v/>
      </c>
      <c r="O28" s="18">
        <f>MAX('Rate Card'!$B$19,('Rate Card'!$B$10+$A28*'Rate Card'!$C$10+$B28*'Rate Card'!$D$10)*(1+'Rate Card'!$B$17+'Rate Card'!$B$18))</f>
        <v/>
      </c>
      <c r="P28" s="18">
        <f>MAX('Rate Card'!$B$19,('Rate Card'!$B$10+$A28*'Rate Card'!$E$10+$B28*'Rate Card'!$F$10)*(1+'Rate Card'!$B$17+'Rate Card'!$B$18))</f>
        <v/>
      </c>
      <c r="Q28" s="18">
        <f>MAX('Rate Card'!$B$19,('Rate Card'!$B$10+$A28*'Rate Card'!$G$10+$B28*'Rate Card'!$H$10)*(1+'Rate Card'!$B$17+'Rate Card'!$B$18))</f>
        <v/>
      </c>
    </row>
    <row r="29">
      <c r="A29" s="16" t="n">
        <v>54</v>
      </c>
      <c r="B29" s="19">
        <f>ROUND($A29*'Rate Card'!$B$22,0)</f>
        <v/>
      </c>
      <c r="C29" s="18">
        <f>MAX('Rate Card'!$B$19,('Rate Card'!$B$6+$A29*'Rate Card'!$C$6+$B29*'Rate Card'!$D$6)*(1+'Rate Card'!$B$17+'Rate Card'!$B$18))</f>
        <v/>
      </c>
      <c r="D29" s="18">
        <f>MAX('Rate Card'!$B$19,('Rate Card'!$B$6+$A29*'Rate Card'!$E$6+$B29*'Rate Card'!$F$6)*(1+'Rate Card'!$B$17+'Rate Card'!$B$18))</f>
        <v/>
      </c>
      <c r="E29" s="18">
        <f>MAX('Rate Card'!$B$19,('Rate Card'!$B$6+$A29*'Rate Card'!$G$6+$B29*'Rate Card'!$H$6)*(1+'Rate Card'!$B$17+'Rate Card'!$B$18))</f>
        <v/>
      </c>
      <c r="F29" s="18">
        <f>MAX('Rate Card'!$B$19,('Rate Card'!$B$7+$A29*'Rate Card'!$C$7+$B29*'Rate Card'!$D$7)*(1+'Rate Card'!$B$17+'Rate Card'!$B$18))</f>
        <v/>
      </c>
      <c r="G29" s="18">
        <f>MAX('Rate Card'!$B$19,('Rate Card'!$B$7+$A29*'Rate Card'!$E$7+$B29*'Rate Card'!$F$7)*(1+'Rate Card'!$B$17+'Rate Card'!$B$18))</f>
        <v/>
      </c>
      <c r="H29" s="18">
        <f>MAX('Rate Card'!$B$19,('Rate Card'!$B$7+$A29*'Rate Card'!$G$7+$B29*'Rate Card'!$H$7)*(1+'Rate Card'!$B$17+'Rate Card'!$B$18))</f>
        <v/>
      </c>
      <c r="I29" s="18">
        <f>MAX('Rate Card'!$B$19,('Rate Card'!$B$8+$A29*'Rate Card'!$C$8+$B29*'Rate Card'!$D$8)*(1+'Rate Card'!$B$17+'Rate Card'!$B$18))</f>
        <v/>
      </c>
      <c r="J29" s="18">
        <f>MAX('Rate Card'!$B$19,('Rate Card'!$B$8+$A29*'Rate Card'!$E$8+$B29*'Rate Card'!$F$8)*(1+'Rate Card'!$B$17+'Rate Card'!$B$18))</f>
        <v/>
      </c>
      <c r="K29" s="18">
        <f>MAX('Rate Card'!$B$19,('Rate Card'!$B$8+$A29*'Rate Card'!$G$8+$B29*'Rate Card'!$H$8)*(1+'Rate Card'!$B$17+'Rate Card'!$B$18))</f>
        <v/>
      </c>
      <c r="L29" s="18">
        <f>MAX('Rate Card'!$B$19,('Rate Card'!$B$9+$A29*'Rate Card'!$C$9+$B29*'Rate Card'!$D$9)*(1+'Rate Card'!$B$17+'Rate Card'!$B$18))</f>
        <v/>
      </c>
      <c r="M29" s="18">
        <f>MAX('Rate Card'!$B$19,('Rate Card'!$B$9+$A29*'Rate Card'!$E$9+$B29*'Rate Card'!$F$9)*(1+'Rate Card'!$B$17+'Rate Card'!$B$18))</f>
        <v/>
      </c>
      <c r="N29" s="18">
        <f>MAX('Rate Card'!$B$19,('Rate Card'!$B$9+$A29*'Rate Card'!$G$9+$B29*'Rate Card'!$H$9)*(1+'Rate Card'!$B$17+'Rate Card'!$B$18))</f>
        <v/>
      </c>
      <c r="O29" s="18">
        <f>MAX('Rate Card'!$B$19,('Rate Card'!$B$10+$A29*'Rate Card'!$C$10+$B29*'Rate Card'!$D$10)*(1+'Rate Card'!$B$17+'Rate Card'!$B$18))</f>
        <v/>
      </c>
      <c r="P29" s="18">
        <f>MAX('Rate Card'!$B$19,('Rate Card'!$B$10+$A29*'Rate Card'!$E$10+$B29*'Rate Card'!$F$10)*(1+'Rate Card'!$B$17+'Rate Card'!$B$18))</f>
        <v/>
      </c>
      <c r="Q29" s="18">
        <f>MAX('Rate Card'!$B$19,('Rate Card'!$B$10+$A29*'Rate Card'!$G$10+$B29*'Rate Card'!$H$10)*(1+'Rate Card'!$B$17+'Rate Card'!$B$18))</f>
        <v/>
      </c>
    </row>
    <row r="30">
      <c r="A30" s="16" t="n">
        <v>56</v>
      </c>
      <c r="B30" s="19">
        <f>ROUND($A30*'Rate Card'!$B$22,0)</f>
        <v/>
      </c>
      <c r="C30" s="18">
        <f>MAX('Rate Card'!$B$19,('Rate Card'!$B$6+$A30*'Rate Card'!$C$6+$B30*'Rate Card'!$D$6)*(1+'Rate Card'!$B$17+'Rate Card'!$B$18))</f>
        <v/>
      </c>
      <c r="D30" s="18">
        <f>MAX('Rate Card'!$B$19,('Rate Card'!$B$6+$A30*'Rate Card'!$E$6+$B30*'Rate Card'!$F$6)*(1+'Rate Card'!$B$17+'Rate Card'!$B$18))</f>
        <v/>
      </c>
      <c r="E30" s="18">
        <f>MAX('Rate Card'!$B$19,('Rate Card'!$B$6+$A30*'Rate Card'!$G$6+$B30*'Rate Card'!$H$6)*(1+'Rate Card'!$B$17+'Rate Card'!$B$18))</f>
        <v/>
      </c>
      <c r="F30" s="18">
        <f>MAX('Rate Card'!$B$19,('Rate Card'!$B$7+$A30*'Rate Card'!$C$7+$B30*'Rate Card'!$D$7)*(1+'Rate Card'!$B$17+'Rate Card'!$B$18))</f>
        <v/>
      </c>
      <c r="G30" s="18">
        <f>MAX('Rate Card'!$B$19,('Rate Card'!$B$7+$A30*'Rate Card'!$E$7+$B30*'Rate Card'!$F$7)*(1+'Rate Card'!$B$17+'Rate Card'!$B$18))</f>
        <v/>
      </c>
      <c r="H30" s="18">
        <f>MAX('Rate Card'!$B$19,('Rate Card'!$B$7+$A30*'Rate Card'!$G$7+$B30*'Rate Card'!$H$7)*(1+'Rate Card'!$B$17+'Rate Card'!$B$18))</f>
        <v/>
      </c>
      <c r="I30" s="18">
        <f>MAX('Rate Card'!$B$19,('Rate Card'!$B$8+$A30*'Rate Card'!$C$8+$B30*'Rate Card'!$D$8)*(1+'Rate Card'!$B$17+'Rate Card'!$B$18))</f>
        <v/>
      </c>
      <c r="J30" s="18">
        <f>MAX('Rate Card'!$B$19,('Rate Card'!$B$8+$A30*'Rate Card'!$E$8+$B30*'Rate Card'!$F$8)*(1+'Rate Card'!$B$17+'Rate Card'!$B$18))</f>
        <v/>
      </c>
      <c r="K30" s="18">
        <f>MAX('Rate Card'!$B$19,('Rate Card'!$B$8+$A30*'Rate Card'!$G$8+$B30*'Rate Card'!$H$8)*(1+'Rate Card'!$B$17+'Rate Card'!$B$18))</f>
        <v/>
      </c>
      <c r="L30" s="18">
        <f>MAX('Rate Card'!$B$19,('Rate Card'!$B$9+$A30*'Rate Card'!$C$9+$B30*'Rate Card'!$D$9)*(1+'Rate Card'!$B$17+'Rate Card'!$B$18))</f>
        <v/>
      </c>
      <c r="M30" s="18">
        <f>MAX('Rate Card'!$B$19,('Rate Card'!$B$9+$A30*'Rate Card'!$E$9+$B30*'Rate Card'!$F$9)*(1+'Rate Card'!$B$17+'Rate Card'!$B$18))</f>
        <v/>
      </c>
      <c r="N30" s="18">
        <f>MAX('Rate Card'!$B$19,('Rate Card'!$B$9+$A30*'Rate Card'!$G$9+$B30*'Rate Card'!$H$9)*(1+'Rate Card'!$B$17+'Rate Card'!$B$18))</f>
        <v/>
      </c>
      <c r="O30" s="18">
        <f>MAX('Rate Card'!$B$19,('Rate Card'!$B$10+$A30*'Rate Card'!$C$10+$B30*'Rate Card'!$D$10)*(1+'Rate Card'!$B$17+'Rate Card'!$B$18))</f>
        <v/>
      </c>
      <c r="P30" s="18">
        <f>MAX('Rate Card'!$B$19,('Rate Card'!$B$10+$A30*'Rate Card'!$E$10+$B30*'Rate Card'!$F$10)*(1+'Rate Card'!$B$17+'Rate Card'!$B$18))</f>
        <v/>
      </c>
      <c r="Q30" s="18">
        <f>MAX('Rate Card'!$B$19,('Rate Card'!$B$10+$A30*'Rate Card'!$G$10+$B30*'Rate Card'!$H$10)*(1+'Rate Card'!$B$17+'Rate Card'!$B$18))</f>
        <v/>
      </c>
    </row>
    <row r="31">
      <c r="A31" s="16" t="n">
        <v>58</v>
      </c>
      <c r="B31" s="19">
        <f>ROUND($A31*'Rate Card'!$B$22,0)</f>
        <v/>
      </c>
      <c r="C31" s="18">
        <f>MAX('Rate Card'!$B$19,('Rate Card'!$B$6+$A31*'Rate Card'!$C$6+$B31*'Rate Card'!$D$6)*(1+'Rate Card'!$B$17+'Rate Card'!$B$18))</f>
        <v/>
      </c>
      <c r="D31" s="18">
        <f>MAX('Rate Card'!$B$19,('Rate Card'!$B$6+$A31*'Rate Card'!$E$6+$B31*'Rate Card'!$F$6)*(1+'Rate Card'!$B$17+'Rate Card'!$B$18))</f>
        <v/>
      </c>
      <c r="E31" s="18">
        <f>MAX('Rate Card'!$B$19,('Rate Card'!$B$6+$A31*'Rate Card'!$G$6+$B31*'Rate Card'!$H$6)*(1+'Rate Card'!$B$17+'Rate Card'!$B$18))</f>
        <v/>
      </c>
      <c r="F31" s="18">
        <f>MAX('Rate Card'!$B$19,('Rate Card'!$B$7+$A31*'Rate Card'!$C$7+$B31*'Rate Card'!$D$7)*(1+'Rate Card'!$B$17+'Rate Card'!$B$18))</f>
        <v/>
      </c>
      <c r="G31" s="18">
        <f>MAX('Rate Card'!$B$19,('Rate Card'!$B$7+$A31*'Rate Card'!$E$7+$B31*'Rate Card'!$F$7)*(1+'Rate Card'!$B$17+'Rate Card'!$B$18))</f>
        <v/>
      </c>
      <c r="H31" s="18">
        <f>MAX('Rate Card'!$B$19,('Rate Card'!$B$7+$A31*'Rate Card'!$G$7+$B31*'Rate Card'!$H$7)*(1+'Rate Card'!$B$17+'Rate Card'!$B$18))</f>
        <v/>
      </c>
      <c r="I31" s="18">
        <f>MAX('Rate Card'!$B$19,('Rate Card'!$B$8+$A31*'Rate Card'!$C$8+$B31*'Rate Card'!$D$8)*(1+'Rate Card'!$B$17+'Rate Card'!$B$18))</f>
        <v/>
      </c>
      <c r="J31" s="18">
        <f>MAX('Rate Card'!$B$19,('Rate Card'!$B$8+$A31*'Rate Card'!$E$8+$B31*'Rate Card'!$F$8)*(1+'Rate Card'!$B$17+'Rate Card'!$B$18))</f>
        <v/>
      </c>
      <c r="K31" s="18">
        <f>MAX('Rate Card'!$B$19,('Rate Card'!$B$8+$A31*'Rate Card'!$G$8+$B31*'Rate Card'!$H$8)*(1+'Rate Card'!$B$17+'Rate Card'!$B$18))</f>
        <v/>
      </c>
      <c r="L31" s="18">
        <f>MAX('Rate Card'!$B$19,('Rate Card'!$B$9+$A31*'Rate Card'!$C$9+$B31*'Rate Card'!$D$9)*(1+'Rate Card'!$B$17+'Rate Card'!$B$18))</f>
        <v/>
      </c>
      <c r="M31" s="18">
        <f>MAX('Rate Card'!$B$19,('Rate Card'!$B$9+$A31*'Rate Card'!$E$9+$B31*'Rate Card'!$F$9)*(1+'Rate Card'!$B$17+'Rate Card'!$B$18))</f>
        <v/>
      </c>
      <c r="N31" s="18">
        <f>MAX('Rate Card'!$B$19,('Rate Card'!$B$9+$A31*'Rate Card'!$G$9+$B31*'Rate Card'!$H$9)*(1+'Rate Card'!$B$17+'Rate Card'!$B$18))</f>
        <v/>
      </c>
      <c r="O31" s="18">
        <f>MAX('Rate Card'!$B$19,('Rate Card'!$B$10+$A31*'Rate Card'!$C$10+$B31*'Rate Card'!$D$10)*(1+'Rate Card'!$B$17+'Rate Card'!$B$18))</f>
        <v/>
      </c>
      <c r="P31" s="18">
        <f>MAX('Rate Card'!$B$19,('Rate Card'!$B$10+$A31*'Rate Card'!$E$10+$B31*'Rate Card'!$F$10)*(1+'Rate Card'!$B$17+'Rate Card'!$B$18))</f>
        <v/>
      </c>
      <c r="Q31" s="18">
        <f>MAX('Rate Card'!$B$19,('Rate Card'!$B$10+$A31*'Rate Card'!$G$10+$B31*'Rate Card'!$H$10)*(1+'Rate Card'!$B$17+'Rate Card'!$B$18))</f>
        <v/>
      </c>
    </row>
    <row r="32">
      <c r="A32" s="16" t="n">
        <v>60</v>
      </c>
      <c r="B32" s="19">
        <f>ROUND($A32*'Rate Card'!$B$22,0)</f>
        <v/>
      </c>
      <c r="C32" s="18">
        <f>MAX('Rate Card'!$B$19,('Rate Card'!$B$6+$A32*'Rate Card'!$C$6+$B32*'Rate Card'!$D$6)*(1+'Rate Card'!$B$17+'Rate Card'!$B$18))</f>
        <v/>
      </c>
      <c r="D32" s="18">
        <f>MAX('Rate Card'!$B$19,('Rate Card'!$B$6+$A32*'Rate Card'!$E$6+$B32*'Rate Card'!$F$6)*(1+'Rate Card'!$B$17+'Rate Card'!$B$18))</f>
        <v/>
      </c>
      <c r="E32" s="18">
        <f>MAX('Rate Card'!$B$19,('Rate Card'!$B$6+$A32*'Rate Card'!$G$6+$B32*'Rate Card'!$H$6)*(1+'Rate Card'!$B$17+'Rate Card'!$B$18))</f>
        <v/>
      </c>
      <c r="F32" s="18">
        <f>MAX('Rate Card'!$B$19,('Rate Card'!$B$7+$A32*'Rate Card'!$C$7+$B32*'Rate Card'!$D$7)*(1+'Rate Card'!$B$17+'Rate Card'!$B$18))</f>
        <v/>
      </c>
      <c r="G32" s="18">
        <f>MAX('Rate Card'!$B$19,('Rate Card'!$B$7+$A32*'Rate Card'!$E$7+$B32*'Rate Card'!$F$7)*(1+'Rate Card'!$B$17+'Rate Card'!$B$18))</f>
        <v/>
      </c>
      <c r="H32" s="18">
        <f>MAX('Rate Card'!$B$19,('Rate Card'!$B$7+$A32*'Rate Card'!$G$7+$B32*'Rate Card'!$H$7)*(1+'Rate Card'!$B$17+'Rate Card'!$B$18))</f>
        <v/>
      </c>
      <c r="I32" s="18">
        <f>MAX('Rate Card'!$B$19,('Rate Card'!$B$8+$A32*'Rate Card'!$C$8+$B32*'Rate Card'!$D$8)*(1+'Rate Card'!$B$17+'Rate Card'!$B$18))</f>
        <v/>
      </c>
      <c r="J32" s="18">
        <f>MAX('Rate Card'!$B$19,('Rate Card'!$B$8+$A32*'Rate Card'!$E$8+$B32*'Rate Card'!$F$8)*(1+'Rate Card'!$B$17+'Rate Card'!$B$18))</f>
        <v/>
      </c>
      <c r="K32" s="18">
        <f>MAX('Rate Card'!$B$19,('Rate Card'!$B$8+$A32*'Rate Card'!$G$8+$B32*'Rate Card'!$H$8)*(1+'Rate Card'!$B$17+'Rate Card'!$B$18))</f>
        <v/>
      </c>
      <c r="L32" s="18">
        <f>MAX('Rate Card'!$B$19,('Rate Card'!$B$9+$A32*'Rate Card'!$C$9+$B32*'Rate Card'!$D$9)*(1+'Rate Card'!$B$17+'Rate Card'!$B$18))</f>
        <v/>
      </c>
      <c r="M32" s="18">
        <f>MAX('Rate Card'!$B$19,('Rate Card'!$B$9+$A32*'Rate Card'!$E$9+$B32*'Rate Card'!$F$9)*(1+'Rate Card'!$B$17+'Rate Card'!$B$18))</f>
        <v/>
      </c>
      <c r="N32" s="18">
        <f>MAX('Rate Card'!$B$19,('Rate Card'!$B$9+$A32*'Rate Card'!$G$9+$B32*'Rate Card'!$H$9)*(1+'Rate Card'!$B$17+'Rate Card'!$B$18))</f>
        <v/>
      </c>
      <c r="O32" s="18">
        <f>MAX('Rate Card'!$B$19,('Rate Card'!$B$10+$A32*'Rate Card'!$C$10+$B32*'Rate Card'!$D$10)*(1+'Rate Card'!$B$17+'Rate Card'!$B$18))</f>
        <v/>
      </c>
      <c r="P32" s="18">
        <f>MAX('Rate Card'!$B$19,('Rate Card'!$B$10+$A32*'Rate Card'!$E$10+$B32*'Rate Card'!$F$10)*(1+'Rate Card'!$B$17+'Rate Card'!$B$18))</f>
        <v/>
      </c>
      <c r="Q32" s="18">
        <f>MAX('Rate Card'!$B$19,('Rate Card'!$B$10+$A32*'Rate Card'!$G$10+$B32*'Rate Card'!$H$10)*(1+'Rate Card'!$B$17+'Rate Card'!$B$18))</f>
        <v/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2026-08-18T20:54:03Z</dcterms:created>
  <dcterms:modified xsi:type="dcterms:W3CDTF">2026-08-18T20:54:03Z</dcterms:modified>
</cp:coreProperties>
</file>